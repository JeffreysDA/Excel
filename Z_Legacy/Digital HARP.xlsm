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duncan.jeffreys\Desktop\"/>
    </mc:Choice>
  </mc:AlternateContent>
  <workbookProtection workbookAlgorithmName="SHA-512" workbookHashValue="p3so9TJYSZziYXvNXuphiqSjsASXN4NNqCbduFpVbYLOrSddHscT/VcDyRb1W355egse5nwdP/JV/wPKrALHFw==" workbookSaltValue="pRldKI2GIr1PdRkFgorW6w==" workbookSpinCount="100000" lockStructure="1"/>
  <bookViews>
    <workbookView xWindow="0" yWindow="34230" windowWidth="18870" windowHeight="4080"/>
  </bookViews>
  <sheets>
    <sheet name="Welcome" sheetId="5" r:id="rId1"/>
    <sheet name="Risk Mitigation Form" sheetId="1" state="veryHidden" r:id="rId2"/>
    <sheet name="Travel Plan" sheetId="4" state="veryHidden" r:id="rId3"/>
    <sheet name="Drop Down Lists" sheetId="2" state="veryHidden" r:id="rId4"/>
  </sheets>
  <functionGroups builtInGroupCount="18"/>
  <definedNames>
    <definedName name="Alpha_Section">'Drop Down Lists'!$J$2:$J$6</definedName>
    <definedName name="Bravo_Section">'Drop Down Lists'!$K$2:$K$5</definedName>
    <definedName name="Charlie_Section">'Drop Down Lists'!$L$2:$L$5</definedName>
    <definedName name="Company">'Drop Down Lists'!$H$2:$H$8</definedName>
    <definedName name="Delta_Section">'Drop Down Lists'!$M$2</definedName>
    <definedName name="Duties">'Drop Down Lists'!$E$2:$E$12</definedName>
    <definedName name="GS_Section">'Drop Down Lists'!$N$2:$N$6</definedName>
    <definedName name="HQ_Section">'Drop Down Lists'!$I$2:$I$18</definedName>
    <definedName name="Justification_of_Request">'Drop Down Lists'!$D$2:$D$6</definedName>
    <definedName name="Mode_of_Travel">'Drop Down Lists'!$B$2:$B$7</definedName>
    <definedName name="Nature_of_Request">'Drop Down Lists'!$C$2:$C$5</definedName>
    <definedName name="Rank">'Drop Down Lists'!$A$2:$A$27</definedName>
    <definedName name="Service_Section">'Drop Down Lists'!$O$2:$O$6</definedName>
    <definedName name="State">'Drop Down Lists'!$F$2:$F$51</definedName>
    <definedName name="State_Abbreviation">'Drop Down Lists'!$G$2:$G$51</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1" i="2" l="1"/>
  <c r="Z1" i="2"/>
  <c r="Y1" i="2"/>
  <c r="X1" i="2"/>
  <c r="W1" i="2"/>
  <c r="V1" i="2"/>
  <c r="U1" i="2"/>
  <c r="T1" i="2"/>
  <c r="S1" i="2"/>
  <c r="R1" i="2"/>
  <c r="Q1" i="2"/>
  <c r="P1" i="2"/>
  <c r="O1" i="2"/>
  <c r="N1" i="2"/>
  <c r="M1" i="2"/>
  <c r="L1" i="2"/>
  <c r="K1" i="2"/>
  <c r="J1" i="2"/>
  <c r="I1" i="2"/>
  <c r="B19" i="4" l="1"/>
  <c r="S7" i="1" l="1"/>
  <c r="C15" i="4" l="1"/>
  <c r="C13" i="4"/>
  <c r="L9" i="4" l="1"/>
  <c r="I9" i="4"/>
  <c r="F9" i="4"/>
  <c r="A41" i="1" l="1"/>
  <c r="B41" i="1"/>
  <c r="J38" i="4" l="1"/>
  <c r="G15" i="4"/>
  <c r="C9" i="4"/>
  <c r="N42" i="1" l="1"/>
  <c r="M42" i="1"/>
  <c r="J42" i="1"/>
  <c r="I42" i="1"/>
  <c r="F42" i="1"/>
  <c r="P42" i="1"/>
  <c r="O42" i="1"/>
  <c r="L42" i="1"/>
  <c r="K42" i="1"/>
  <c r="H42" i="1"/>
  <c r="G42" i="1"/>
  <c r="E42" i="1"/>
  <c r="D42" i="1"/>
  <c r="C42" i="1"/>
  <c r="B42" i="1"/>
  <c r="A42" i="1"/>
  <c r="Q42" i="1" l="1"/>
  <c r="L29" i="1" s="1"/>
  <c r="T42" i="1"/>
  <c r="A43" i="1"/>
  <c r="A33" i="1"/>
</calcChain>
</file>

<file path=xl/sharedStrings.xml><?xml version="1.0" encoding="utf-8"?>
<sst xmlns="http://schemas.openxmlformats.org/spreadsheetml/2006/main" count="395" uniqueCount="318">
  <si>
    <t xml:space="preserve">LEAVE AND LIBERTY RISK MITIGATION FORM </t>
  </si>
  <si>
    <t>Rank</t>
  </si>
  <si>
    <t>EDIPI</t>
  </si>
  <si>
    <t>Company</t>
  </si>
  <si>
    <t>Section</t>
  </si>
  <si>
    <t>HQ</t>
  </si>
  <si>
    <t>S-3 IT</t>
  </si>
  <si>
    <t>Telephone Number</t>
  </si>
  <si>
    <t>Drivers License</t>
  </si>
  <si>
    <t>Auto Insurance</t>
  </si>
  <si>
    <t>State</t>
  </si>
  <si>
    <t>Headlights</t>
  </si>
  <si>
    <t>Spare / Jack</t>
  </si>
  <si>
    <t>Tail Lights</t>
  </si>
  <si>
    <t>Turn Signals</t>
  </si>
  <si>
    <t>Brake Light</t>
  </si>
  <si>
    <t>Reveres Light</t>
  </si>
  <si>
    <t>Side Mirrors</t>
  </si>
  <si>
    <t>Rear mirror</t>
  </si>
  <si>
    <t>Horn</t>
  </si>
  <si>
    <t>Seatbelts</t>
  </si>
  <si>
    <t>Tires</t>
  </si>
  <si>
    <t>Windshield Wipers</t>
  </si>
  <si>
    <t>Title</t>
  </si>
  <si>
    <t>Signature</t>
  </si>
  <si>
    <t>Date</t>
  </si>
  <si>
    <t>Does SNM have driver improvement card?</t>
  </si>
  <si>
    <t>SNCOIC</t>
  </si>
  <si>
    <t>Has SNM been encouraged to get plenty of rest?</t>
  </si>
  <si>
    <t>OIC</t>
  </si>
  <si>
    <t>Does SNM have recall rosters?</t>
  </si>
  <si>
    <t>Is SNM pending any Legal action?</t>
  </si>
  <si>
    <t>1stSgt</t>
  </si>
  <si>
    <t>Company Commander</t>
  </si>
  <si>
    <t>IF DENIED BY COMPANY COMMANDER:</t>
  </si>
  <si>
    <t>Commanding Officer</t>
  </si>
  <si>
    <t>Mode of Travel</t>
  </si>
  <si>
    <t>Nature of Request</t>
  </si>
  <si>
    <t xml:space="preserve"> 8TH COMMUNICATION BATTALION</t>
  </si>
  <si>
    <t xml:space="preserve">                    </t>
  </si>
  <si>
    <t>RANK:</t>
  </si>
  <si>
    <t>LAST:</t>
  </si>
  <si>
    <t>FIRST:</t>
  </si>
  <si>
    <t>MI:</t>
  </si>
  <si>
    <t xml:space="preserve">REQUESTED DATES </t>
  </si>
  <si>
    <t>FROM:</t>
  </si>
  <si>
    <t>TO:</t>
  </si>
  <si>
    <t>TRAVEL PLAN:</t>
  </si>
  <si>
    <t>DATE:</t>
  </si>
  <si>
    <t>Airplane</t>
  </si>
  <si>
    <t>Bus</t>
  </si>
  <si>
    <t>Car</t>
  </si>
  <si>
    <t>Motorcycle</t>
  </si>
  <si>
    <t>Train</t>
  </si>
  <si>
    <t>N/A</t>
  </si>
  <si>
    <t>Leave</t>
  </si>
  <si>
    <t>Special Liberty</t>
  </si>
  <si>
    <t>Out of Bounds</t>
  </si>
  <si>
    <t>Other</t>
  </si>
  <si>
    <t>Leave Address (Street, City, St, Zip)</t>
  </si>
  <si>
    <t># of Days</t>
  </si>
  <si>
    <t>Justification of Request</t>
  </si>
  <si>
    <t>Leave Balance</t>
  </si>
  <si>
    <t>Distance (One Way)</t>
  </si>
  <si>
    <t>License Plate</t>
  </si>
  <si>
    <t>Vehicle Year, Make, &amp; Model</t>
  </si>
  <si>
    <t xml:space="preserve">Registration Exp Date: </t>
  </si>
  <si>
    <t xml:space="preserve">Inspection Exp Date: </t>
  </si>
  <si>
    <t>Name of Operator (If different from SNM)</t>
  </si>
  <si>
    <t>Relation to SNM</t>
  </si>
  <si>
    <t># of Passengers</t>
  </si>
  <si>
    <t>State:</t>
  </si>
  <si>
    <t>Number:</t>
  </si>
  <si>
    <t>Co. Name:</t>
  </si>
  <si>
    <t>Exp. Date:</t>
  </si>
  <si>
    <t>Pass</t>
  </si>
  <si>
    <t>Fail</t>
  </si>
  <si>
    <t>Item</t>
  </si>
  <si>
    <t>Brakes</t>
  </si>
  <si>
    <t>License Plate Light</t>
  </si>
  <si>
    <t>Emergency Flashers</t>
  </si>
  <si>
    <t>Emergency Brake</t>
  </si>
  <si>
    <t>Car Seat (For Child)</t>
  </si>
  <si>
    <t>Fluids (Oil, Gas, etc.)</t>
  </si>
  <si>
    <t>Marine is not married.</t>
  </si>
  <si>
    <t>Marine has returned from a 30 day deployment within the last 30 days.</t>
  </si>
  <si>
    <t>Marine has experienced personal stressors (marital change, financial troubles, death in family, etc.) recently.</t>
  </si>
  <si>
    <t>Marine has had an alcohol related incident within the past 12 months.</t>
  </si>
  <si>
    <t xml:space="preserve">Does SNM drive a high performance vehicle? </t>
  </si>
  <si>
    <t>SNM is Dental Class</t>
  </si>
  <si>
    <t>Does SNM have any Medical or Dental appointments during the dates requested?</t>
  </si>
  <si>
    <t>RISK FACTORS AND ASSESSMENT</t>
  </si>
  <si>
    <t>Based on the assessment questionnaire, this Marines risk level is:</t>
  </si>
  <si>
    <t>Vehicle Information and Inspection Checklist (Vehicle SNM will be traveling in)</t>
  </si>
  <si>
    <t>SAFETY PLEDGE AND STATEMENT OF UNDERSTANDING</t>
  </si>
  <si>
    <t>,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t>
  </si>
  <si>
    <t>Sgt</t>
  </si>
  <si>
    <t>Pvt</t>
  </si>
  <si>
    <t>PFC</t>
  </si>
  <si>
    <t>LCpl</t>
  </si>
  <si>
    <t>Cpl</t>
  </si>
  <si>
    <t>SSgt</t>
  </si>
  <si>
    <t>GySgt</t>
  </si>
  <si>
    <t>MSgt</t>
  </si>
  <si>
    <t>MGySgt</t>
  </si>
  <si>
    <t>SgtMaj</t>
  </si>
  <si>
    <t>WO1</t>
  </si>
  <si>
    <t>CWO2</t>
  </si>
  <si>
    <t>CWO3</t>
  </si>
  <si>
    <t>CWO4</t>
  </si>
  <si>
    <t>CWO5</t>
  </si>
  <si>
    <t>2ndLt</t>
  </si>
  <si>
    <t>1stLt</t>
  </si>
  <si>
    <t>Capt</t>
  </si>
  <si>
    <t>Maj</t>
  </si>
  <si>
    <t>LtCol</t>
  </si>
  <si>
    <t>Col</t>
  </si>
  <si>
    <t>BGen</t>
  </si>
  <si>
    <t>MajGen</t>
  </si>
  <si>
    <t>LtGen</t>
  </si>
  <si>
    <t>Gen</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</si>
  <si>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</si>
  <si>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</si>
  <si>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</si>
  <si>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</si>
  <si>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</si>
  <si>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</si>
  <si>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</si>
  <si>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</si>
  <si>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</si>
  <si>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</si>
  <si>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</si>
  <si>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</si>
  <si>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</si>
  <si>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</si>
  <si>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</si>
  <si>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</si>
  <si>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</si>
  <si>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</si>
  <si>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</si>
  <si>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</si>
  <si>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</si>
  <si>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</si>
  <si>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</si>
  <si>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</si>
  <si>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</si>
  <si>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</si>
  <si>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</si>
  <si>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</si>
  <si>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</si>
  <si>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</si>
  <si>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</si>
  <si>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</si>
  <si>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</si>
  <si>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</si>
  <si>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</si>
  <si>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</si>
  <si>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</si>
  <si>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</si>
  <si>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</si>
  <si>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</si>
  <si>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</si>
  <si>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</si>
  <si>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</si>
  <si>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</si>
  <si>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</si>
  <si>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</si>
  <si>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</si>
  <si>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</si>
  <si>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</si>
  <si>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</si>
  <si>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State Abbreviation</t>
  </si>
  <si>
    <t xml:space="preserve">AL </t>
  </si>
  <si>
    <t xml:space="preserve">AK </t>
  </si>
  <si>
    <t xml:space="preserve">AZ </t>
  </si>
  <si>
    <t xml:space="preserve">AR </t>
  </si>
  <si>
    <t xml:space="preserve">CA </t>
  </si>
  <si>
    <t xml:space="preserve">CO </t>
  </si>
  <si>
    <t xml:space="preserve">CT </t>
  </si>
  <si>
    <t xml:space="preserve">DE </t>
  </si>
  <si>
    <t xml:space="preserve">FL </t>
  </si>
  <si>
    <t xml:space="preserve">GA </t>
  </si>
  <si>
    <t xml:space="preserve">HI </t>
  </si>
  <si>
    <t xml:space="preserve">ID </t>
  </si>
  <si>
    <t xml:space="preserve">IL </t>
  </si>
  <si>
    <t xml:space="preserve">IN </t>
  </si>
  <si>
    <t xml:space="preserve">IA </t>
  </si>
  <si>
    <t xml:space="preserve">KS </t>
  </si>
  <si>
    <t xml:space="preserve">KY </t>
  </si>
  <si>
    <t xml:space="preserve">LA </t>
  </si>
  <si>
    <t xml:space="preserve">ME </t>
  </si>
  <si>
    <t xml:space="preserve">MD </t>
  </si>
  <si>
    <t xml:space="preserve">MA </t>
  </si>
  <si>
    <t xml:space="preserve">MI </t>
  </si>
  <si>
    <t xml:space="preserve">MN </t>
  </si>
  <si>
    <t xml:space="preserve">MS </t>
  </si>
  <si>
    <t xml:space="preserve">MO </t>
  </si>
  <si>
    <t xml:space="preserve">MT </t>
  </si>
  <si>
    <t xml:space="preserve">NE </t>
  </si>
  <si>
    <t xml:space="preserve">NV </t>
  </si>
  <si>
    <t xml:space="preserve">NH </t>
  </si>
  <si>
    <t xml:space="preserve">NJ </t>
  </si>
  <si>
    <t xml:space="preserve">NM </t>
  </si>
  <si>
    <t xml:space="preserve">NY </t>
  </si>
  <si>
    <t xml:space="preserve">NC </t>
  </si>
  <si>
    <t xml:space="preserve">ND </t>
  </si>
  <si>
    <t xml:space="preserve">OH </t>
  </si>
  <si>
    <t xml:space="preserve">OK </t>
  </si>
  <si>
    <t xml:space="preserve">OR </t>
  </si>
  <si>
    <t xml:space="preserve">PA </t>
  </si>
  <si>
    <t xml:space="preserve">RI </t>
  </si>
  <si>
    <t xml:space="preserve">SC </t>
  </si>
  <si>
    <t xml:space="preserve">SD </t>
  </si>
  <si>
    <t xml:space="preserve">TN </t>
  </si>
  <si>
    <t xml:space="preserve">TX </t>
  </si>
  <si>
    <t xml:space="preserve">UT </t>
  </si>
  <si>
    <t xml:space="preserve">VT </t>
  </si>
  <si>
    <t xml:space="preserve">VA </t>
  </si>
  <si>
    <t xml:space="preserve">WA </t>
  </si>
  <si>
    <t xml:space="preserve">WV </t>
  </si>
  <si>
    <t xml:space="preserve">WI </t>
  </si>
  <si>
    <t xml:space="preserve">WY </t>
  </si>
  <si>
    <t>Miles</t>
  </si>
  <si>
    <t>Personal Time Off</t>
  </si>
  <si>
    <t>Emergency Leave</t>
  </si>
  <si>
    <t>Motorcycle Information and Inspection Checklist (Motorcycle SNM will be traveling on)</t>
  </si>
  <si>
    <t>Motorcycle Year, Make, &amp; Model</t>
  </si>
  <si>
    <t>Requested travel days are more than 25% of Lv/Libo days.</t>
  </si>
  <si>
    <t>Marine will be driving alone.</t>
  </si>
  <si>
    <t>Marine plans to travel via motorcycle.</t>
  </si>
  <si>
    <t>Marine is under 26 years old.</t>
  </si>
  <si>
    <t xml:space="preserve">Marine will be driving 100-500 miles one way. </t>
  </si>
  <si>
    <t xml:space="preserve">Marine will be driving 501-1,000 miles one way. </t>
  </si>
  <si>
    <t xml:space="preserve">Marine will be driving more than 1,000 miles one way. </t>
  </si>
  <si>
    <t>Marine will be driving between 2200 &amp; 0600</t>
  </si>
  <si>
    <t>Request Date (yyyymmdd)</t>
  </si>
  <si>
    <t>S-1</t>
  </si>
  <si>
    <t>S-2</t>
  </si>
  <si>
    <t>S-3</t>
  </si>
  <si>
    <t>S-4</t>
  </si>
  <si>
    <t>GS</t>
  </si>
  <si>
    <t>Alpha</t>
  </si>
  <si>
    <t>Bravo</t>
  </si>
  <si>
    <t>Charlie</t>
  </si>
  <si>
    <t>Service</t>
  </si>
  <si>
    <t>Delta</t>
  </si>
  <si>
    <t>1st Plt</t>
  </si>
  <si>
    <t>2nd Plt</t>
  </si>
  <si>
    <t>3rd Plt</t>
  </si>
  <si>
    <t>Co. Office</t>
  </si>
  <si>
    <t>OPS</t>
  </si>
  <si>
    <t>Cyber</t>
  </si>
  <si>
    <t>Radio</t>
  </si>
  <si>
    <t>R2C2</t>
  </si>
  <si>
    <t>CCSP</t>
  </si>
  <si>
    <t>Systems</t>
  </si>
  <si>
    <t>Trans.</t>
  </si>
  <si>
    <t>Networking</t>
  </si>
  <si>
    <t>EM</t>
  </si>
  <si>
    <t>Engineer Plt.</t>
  </si>
  <si>
    <t>MT Ops</t>
  </si>
  <si>
    <t>MT Maint.</t>
  </si>
  <si>
    <t>SACO</t>
  </si>
  <si>
    <t>MFLAC/FRO</t>
  </si>
  <si>
    <t>Chaplin</t>
  </si>
  <si>
    <t>S-3 Train.</t>
  </si>
  <si>
    <t>S-3 Ops</t>
  </si>
  <si>
    <t>Ops</t>
  </si>
  <si>
    <t>SPE</t>
  </si>
  <si>
    <t>Career Planner</t>
  </si>
  <si>
    <t>,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t>
  </si>
  <si>
    <t>Does SNM have Duty during requested time off?</t>
  </si>
  <si>
    <t>Marine has had a traffic violation in the past 12 months.</t>
  </si>
  <si>
    <t>Marine will have less than 8 Hrs. of rest prior to departure.</t>
  </si>
  <si>
    <t>Marine will have less than 12 Hrs. between return and beginning Duty.</t>
  </si>
  <si>
    <t>From</t>
  </si>
  <si>
    <t>To</t>
  </si>
  <si>
    <t>Time</t>
  </si>
  <si>
    <t>Holiday Break (72)</t>
  </si>
  <si>
    <t>Holiday Break (96)</t>
  </si>
  <si>
    <t>Remarks:</t>
  </si>
  <si>
    <t>Marine Requesting (Last, First M.)</t>
  </si>
  <si>
    <t>Req. Marine's Supervisor (Last, First M.)</t>
  </si>
  <si>
    <t>Marine will be traveling during a holiday period.</t>
  </si>
  <si>
    <t>Recommendation</t>
  </si>
  <si>
    <t>Sign HARP</t>
  </si>
  <si>
    <t>LOCATION INFORMATION</t>
  </si>
  <si>
    <t/>
  </si>
  <si>
    <t>Date of Duty (yyyymmdd)</t>
  </si>
  <si>
    <t>Marine Taking Duty (Rank Last, First, M.)</t>
  </si>
  <si>
    <t>Type of Duty</t>
  </si>
  <si>
    <t>None</t>
  </si>
  <si>
    <t>For ease of use, the Supervisor or POV Inspector can use the button below to mark the vehicle as passing on all items.</t>
  </si>
  <si>
    <t>Types of Duty</t>
  </si>
  <si>
    <t>OOD</t>
  </si>
  <si>
    <t>AOOD</t>
  </si>
  <si>
    <t>Duty Driver</t>
  </si>
  <si>
    <t>CDO</t>
  </si>
  <si>
    <t>DNCO</t>
  </si>
  <si>
    <t>ADNCO</t>
  </si>
  <si>
    <t>Rover/Firewatch</t>
  </si>
  <si>
    <t>ACDO</t>
  </si>
  <si>
    <t>Armory Duty</t>
  </si>
  <si>
    <t>DWD</t>
  </si>
  <si>
    <t>Signature:</t>
  </si>
  <si>
    <t>Date:</t>
  </si>
  <si>
    <t>Version:</t>
  </si>
  <si>
    <t>Figure 1</t>
  </si>
  <si>
    <t>Figure 2</t>
  </si>
  <si>
    <t>Figure 3</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</si>
  <si>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cannot be run or utilized as required if this document is located on a network drive such as SharePoint or Share Drive, nor if this was opened directly from your email as an attachment. To use this document, save it to a location on your local machine, such as your Desktop, or Document and you will need to enable Macros by followingthe setps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2 to the right.
A window should appear. At the bottom of the properties menu it might suggest that the file could be harmful, and there should be a checkbox the “Unlock” the file. Go ahead and check that box, then click “Apply”, and then click “OK”.  See Figure 3 to the right.
After you “Unblock” the file, you should close then re-open this document and attempt Method 1 again.
</t>
    </r>
  </si>
  <si>
    <t>Figure 4</t>
  </si>
  <si>
    <t>S-3 MTC</t>
  </si>
  <si>
    <t>S-4 MMO</t>
  </si>
  <si>
    <t>S-4 Supply</t>
  </si>
  <si>
    <t>The "Req. Marine's Supervisor" spot, and the POV checklist will remain unlocked and available for editing until one of the signature blocks is signed.</t>
  </si>
  <si>
    <t>S-3 TIE</t>
  </si>
  <si>
    <t>Digital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</si>
</sst>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1" formatCode="_(* #,##0_);_(* \(#,##0\);_(* &quot;-&quot;_);_(@_)"/>
    <numFmt numFmtId="164" formatCode="[&lt;=9999999]###\-####;\(###\)\ ###\-####"/>
    <numFmt numFmtId="165" formatCode="[$-409]mmm\-yyyy;@"/>
    <numFmt numFmtId="166" formatCode=";;;"/>
  </numFmts>
  <fonts count="28" x14ac:knownFonts="1">
    <font>
      <sz val="11"/>
      <color theme="1"/>
      <name val="Calibri"/>
      <family val="2"/>
      <scheme val="minor"/>
    </font>
    <font>
      <b/>
      <sz val="11"/>
      <color theme="1"/>
      <name val="Calibri"/>
      <family val="2"/>
      <scheme val="minor"/>
    </font>
    <font>
      <b/>
      <sz val="12"/>
      <name val="Arial"/>
      <family val="2"/>
    </font>
    <font>
      <b/>
      <sz val="9"/>
      <name val="Arial"/>
      <family val="2"/>
    </font>
    <font>
      <b/>
      <sz val="8"/>
      <name val="Arial"/>
      <family val="2"/>
    </font>
    <font>
      <sz val="10"/>
      <name val="Arial"/>
      <family val="2"/>
    </font>
    <font>
      <b/>
      <sz val="10"/>
      <name val="Arial"/>
      <family val="2"/>
    </font>
    <font>
      <b/>
      <sz val="18"/>
      <color theme="1"/>
      <name val="Times New Roman"/>
      <family val="1"/>
    </font>
    <font>
      <b/>
      <u/>
      <sz val="11"/>
      <color theme="1"/>
      <name val="Calibri"/>
      <family val="2"/>
      <scheme val="minor"/>
    </font>
    <font>
      <u/>
      <sz val="11"/>
      <color theme="1"/>
      <name val="Calibri"/>
      <family val="2"/>
      <scheme val="minor"/>
    </font>
    <font>
      <sz val="12"/>
      <color theme="1"/>
      <name val="Times New Roman"/>
      <family val="1"/>
    </font>
    <font>
      <b/>
      <u/>
      <sz val="12"/>
      <color theme="1"/>
      <name val="Times New Roman"/>
      <family val="1"/>
    </font>
    <font>
      <sz val="11"/>
      <color theme="1"/>
      <name val="Times New Roman"/>
      <family val="1"/>
    </font>
    <font>
      <sz val="20"/>
      <color theme="1"/>
      <name val="Times New Roman"/>
      <family val="1"/>
    </font>
    <font>
      <u/>
      <sz val="20"/>
      <color theme="1"/>
      <name val="Times New Roman"/>
      <family val="1"/>
    </font>
    <font>
      <sz val="10"/>
      <color theme="1"/>
      <name val="Times New Roman"/>
      <family val="1"/>
    </font>
    <font>
      <b/>
      <sz val="24"/>
      <name val="Arial"/>
      <family val="2"/>
    </font>
    <font>
      <sz val="10"/>
      <color theme="0" tint="-4.9989318521683403E-2"/>
      <name val="Arial"/>
      <family val="2"/>
    </font>
    <font>
      <sz val="10"/>
      <color theme="0"/>
      <name val="Arial"/>
      <family val="2"/>
    </font>
    <font>
      <b/>
      <sz val="8"/>
      <color theme="0" tint="-4.9989318521683403E-2"/>
      <name val="Arial"/>
      <family val="2"/>
    </font>
    <font>
      <sz val="10"/>
      <color theme="1"/>
      <name val="Arial"/>
      <family val="2"/>
    </font>
    <font>
      <sz val="11"/>
      <color rgb="FF000000"/>
      <name val="Calibri"/>
      <family val="2"/>
    </font>
    <font>
      <sz val="11"/>
      <color theme="1"/>
      <name val="Calibri"/>
      <family val="2"/>
      <scheme val="minor"/>
    </font>
    <font>
      <sz val="8"/>
      <color rgb="FF000000"/>
      <name val="Segoe UI"/>
      <family val="2"/>
    </font>
    <font>
      <b/>
      <sz val="8"/>
      <color theme="0" tint="-0.499984740745262"/>
      <name val="Arial"/>
      <family val="2"/>
    </font>
    <font>
      <b/>
      <sz val="11"/>
      <color rgb="FFFF0000"/>
      <name val="Calibri"/>
      <family val="2"/>
      <scheme val="minor"/>
    </font>
    <font>
      <i/>
      <sz val="11"/>
      <color theme="1"/>
      <name val="Calibri"/>
      <family val="2"/>
      <scheme val="minor"/>
    </font>
    <font>
      <sz val="11"/>
      <name val="Calibri"/>
      <family val="2"/>
      <scheme val="minor"/>
    </font>
  </fonts>
  <fills count="8">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CC"/>
      </patternFill>
    </fill>
  </fills>
  <borders count="8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thin">
        <color rgb="FFB2B2B2"/>
      </left>
      <right style="thin">
        <color rgb="FFB2B2B2"/>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rgb="FFB2B2B2"/>
      </left>
      <right style="thin">
        <color rgb="FFB2B2B2"/>
      </right>
      <top style="thin">
        <color rgb="FFB2B2B2"/>
      </top>
      <bottom/>
      <diagonal/>
    </border>
    <border>
      <left style="thin">
        <color indexed="64"/>
      </left>
      <right style="thin">
        <color rgb="FFB2B2B2"/>
      </right>
      <top style="thin">
        <color indexed="64"/>
      </top>
      <bottom style="thin">
        <color rgb="FFB2B2B2"/>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rgb="FFB2B2B2"/>
      </right>
      <top style="thin">
        <color rgb="FFB2B2B2"/>
      </top>
      <bottom style="thin">
        <color rgb="FFB2B2B2"/>
      </bottom>
      <diagonal/>
    </border>
    <border>
      <left style="thin">
        <color rgb="FFB2B2B2"/>
      </left>
      <right style="thin">
        <color indexed="64"/>
      </right>
      <top style="thin">
        <color rgb="FFB2B2B2"/>
      </top>
      <bottom style="thin">
        <color rgb="FFB2B2B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B2B2B2"/>
      </right>
      <top style="thin">
        <color rgb="FFB2B2B2"/>
      </top>
      <bottom/>
      <diagonal/>
    </border>
    <border>
      <left style="thin">
        <color rgb="FFB2B2B2"/>
      </left>
      <right style="thin">
        <color indexed="64"/>
      </right>
      <top style="thin">
        <color rgb="FFB2B2B2"/>
      </top>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indexed="64"/>
      </right>
      <top style="thin">
        <color indexed="64"/>
      </top>
      <bottom/>
      <diagonal/>
    </border>
  </borders>
  <cellStyleXfs count="2">
    <xf numFmtId="0" fontId="0" fillId="0" borderId="0"/>
    <xf numFmtId="0" fontId="22" fillId="7" borderId="58" applyNumberFormat="0" applyFont="0" applyAlignment="0" applyProtection="0"/>
  </cellStyleXfs>
  <cellXfs count="341">
    <xf numFmtId="0" fontId="0" fillId="0" borderId="0" xfId="0"/>
    <xf numFmtId="0" fontId="5" fillId="0" borderId="0" xfId="0" applyFont="1" applyProtection="1"/>
    <xf numFmtId="0" fontId="0" fillId="0" borderId="0" xfId="0" applyProtection="1"/>
    <xf numFmtId="0" fontId="1" fillId="0" borderId="0" xfId="0" applyFont="1" applyAlignment="1" applyProtection="1"/>
    <xf numFmtId="0" fontId="0" fillId="0" borderId="0" xfId="0" applyFont="1" applyProtection="1"/>
    <xf numFmtId="0" fontId="10" fillId="0" borderId="0" xfId="0" applyFont="1" applyAlignment="1" applyProtection="1">
      <alignment vertical="center"/>
    </xf>
    <xf numFmtId="0" fontId="10" fillId="0" borderId="0" xfId="0" applyFont="1" applyAlignment="1" applyProtection="1">
      <alignment horizontal="right" vertical="center"/>
    </xf>
    <xf numFmtId="0" fontId="10" fillId="0" borderId="0" xfId="0" applyFont="1" applyBorder="1" applyAlignment="1" applyProtection="1">
      <alignment horizontal="right" vertical="center"/>
    </xf>
    <xf numFmtId="0" fontId="13" fillId="0" borderId="0" xfId="0" applyFont="1" applyAlignment="1" applyProtection="1">
      <alignment vertical="center"/>
    </xf>
    <xf numFmtId="0" fontId="13" fillId="0" borderId="0" xfId="0" applyFont="1" applyAlignment="1" applyProtection="1">
      <alignment horizontal="center" vertical="center"/>
    </xf>
    <xf numFmtId="0" fontId="14" fillId="0" borderId="0" xfId="0" applyFont="1" applyAlignment="1" applyProtection="1">
      <alignment vertical="center"/>
    </xf>
    <xf numFmtId="0" fontId="15" fillId="0" borderId="0" xfId="0" applyFont="1" applyAlignment="1" applyProtection="1">
      <alignment horizontal="justify" vertical="top"/>
    </xf>
    <xf numFmtId="0" fontId="0" fillId="0" borderId="0" xfId="0" applyAlignment="1" applyProtection="1">
      <alignment vertical="top"/>
    </xf>
    <xf numFmtId="0" fontId="6" fillId="3" borderId="0" xfId="0" applyFont="1" applyFill="1" applyBorder="1" applyProtection="1"/>
    <xf numFmtId="0" fontId="5" fillId="3" borderId="0" xfId="0" applyFont="1" applyFill="1" applyBorder="1" applyProtection="1"/>
    <xf numFmtId="0" fontId="5" fillId="3" borderId="16" xfId="0" applyFont="1" applyFill="1" applyBorder="1" applyProtection="1"/>
    <xf numFmtId="0" fontId="2" fillId="3" borderId="10" xfId="0" applyFont="1" applyFill="1" applyBorder="1" applyAlignment="1" applyProtection="1">
      <alignment vertical="center"/>
    </xf>
    <xf numFmtId="0" fontId="2" fillId="3" borderId="0" xfId="0" applyFont="1" applyFill="1" applyBorder="1" applyAlignment="1" applyProtection="1">
      <alignment vertical="center"/>
    </xf>
    <xf numFmtId="0" fontId="2" fillId="3" borderId="11" xfId="0" applyFont="1" applyFill="1" applyBorder="1" applyAlignment="1" applyProtection="1">
      <alignment vertical="center"/>
    </xf>
    <xf numFmtId="0" fontId="5" fillId="4" borderId="16" xfId="0" applyFont="1" applyFill="1" applyBorder="1" applyAlignment="1" applyProtection="1">
      <alignment vertical="top" wrapText="1"/>
    </xf>
    <xf numFmtId="0" fontId="5" fillId="4" borderId="17" xfId="0" applyFont="1" applyFill="1" applyBorder="1" applyAlignment="1" applyProtection="1">
      <alignment vertical="top" wrapText="1"/>
    </xf>
    <xf numFmtId="0" fontId="5" fillId="4" borderId="15" xfId="0" applyFont="1" applyFill="1" applyBorder="1" applyAlignment="1" applyProtection="1">
      <alignment vertical="top" wrapText="1"/>
    </xf>
    <xf numFmtId="0" fontId="5" fillId="4" borderId="0" xfId="0" applyFont="1" applyFill="1" applyBorder="1" applyAlignment="1" applyProtection="1">
      <alignment vertical="top" wrapText="1"/>
    </xf>
    <xf numFmtId="0" fontId="5" fillId="4" borderId="11" xfId="0" applyFont="1" applyFill="1" applyBorder="1" applyAlignment="1" applyProtection="1">
      <alignment vertical="top" wrapText="1"/>
    </xf>
    <xf numFmtId="0" fontId="18" fillId="4" borderId="0" xfId="0" applyFont="1" applyFill="1" applyBorder="1" applyAlignment="1" applyProtection="1">
      <alignment vertical="top" wrapText="1"/>
    </xf>
    <xf numFmtId="0" fontId="18" fillId="4" borderId="0" xfId="0" applyFont="1" applyFill="1" applyBorder="1" applyProtection="1"/>
    <xf numFmtId="0" fontId="18" fillId="4" borderId="10" xfId="0" applyFont="1" applyFill="1" applyBorder="1" applyAlignment="1" applyProtection="1">
      <alignment vertical="top" wrapText="1"/>
    </xf>
    <xf numFmtId="14" fontId="18" fillId="4" borderId="11" xfId="0" applyNumberFormat="1" applyFont="1" applyFill="1" applyBorder="1" applyProtection="1"/>
    <xf numFmtId="0" fontId="2" fillId="3" borderId="1" xfId="0" applyFont="1" applyFill="1" applyBorder="1" applyAlignment="1" applyProtection="1">
      <alignment vertical="center"/>
    </xf>
    <xf numFmtId="0" fontId="2" fillId="3" borderId="2" xfId="0" applyFont="1" applyFill="1" applyBorder="1" applyAlignment="1" applyProtection="1">
      <alignment vertical="center"/>
    </xf>
    <xf numFmtId="0" fontId="2" fillId="3" borderId="3" xfId="0" applyFont="1" applyFill="1" applyBorder="1" applyAlignment="1" applyProtection="1">
      <alignment vertical="center"/>
    </xf>
    <xf numFmtId="0" fontId="6" fillId="6" borderId="42" xfId="0" applyFont="1" applyFill="1" applyBorder="1" applyAlignment="1" applyProtection="1">
      <alignment vertical="center"/>
    </xf>
    <xf numFmtId="0" fontId="6" fillId="6" borderId="43" xfId="0" applyFont="1" applyFill="1" applyBorder="1" applyAlignment="1" applyProtection="1">
      <alignment vertical="center"/>
    </xf>
    <xf numFmtId="0" fontId="6" fillId="6" borderId="42" xfId="0" applyNumberFormat="1" applyFont="1" applyFill="1" applyBorder="1" applyAlignment="1" applyProtection="1">
      <alignment vertical="center"/>
    </xf>
    <xf numFmtId="0" fontId="6" fillId="6" borderId="43" xfId="0" applyNumberFormat="1" applyFont="1" applyFill="1" applyBorder="1" applyAlignment="1" applyProtection="1">
      <alignment vertical="center"/>
    </xf>
    <xf numFmtId="166" fontId="17" fillId="6" borderId="22" xfId="0" applyNumberFormat="1" applyFont="1" applyFill="1" applyBorder="1" applyProtection="1"/>
    <xf numFmtId="166" fontId="17" fillId="6" borderId="39" xfId="0" applyNumberFormat="1" applyFont="1" applyFill="1" applyBorder="1" applyProtection="1"/>
    <xf numFmtId="166" fontId="17" fillId="6" borderId="33" xfId="0" applyNumberFormat="1" applyFont="1" applyFill="1" applyBorder="1" applyProtection="1"/>
    <xf numFmtId="0" fontId="6" fillId="0" borderId="0" xfId="0" applyFont="1" applyFill="1" applyBorder="1" applyAlignment="1" applyProtection="1">
      <alignment horizontal="left" vertical="center"/>
    </xf>
    <xf numFmtId="0" fontId="5" fillId="0" borderId="0" xfId="0" applyFont="1" applyFill="1" applyBorder="1" applyProtection="1"/>
    <xf numFmtId="0" fontId="5" fillId="0" borderId="0" xfId="0" applyFont="1" applyFill="1" applyBorder="1" applyAlignment="1" applyProtection="1"/>
    <xf numFmtId="0" fontId="6" fillId="0" borderId="0" xfId="0" applyFont="1" applyFill="1" applyBorder="1" applyAlignment="1" applyProtection="1">
      <alignment vertical="center"/>
    </xf>
    <xf numFmtId="0" fontId="5" fillId="0" borderId="0" xfId="0" applyFont="1" applyFill="1" applyProtection="1"/>
    <xf numFmtId="0" fontId="9" fillId="0" borderId="0" xfId="0" applyFont="1" applyAlignment="1" applyProtection="1"/>
    <xf numFmtId="0" fontId="19" fillId="6" borderId="40" xfId="0" applyNumberFormat="1" applyFont="1" applyFill="1" applyBorder="1" applyAlignment="1" applyProtection="1">
      <alignment vertical="center"/>
    </xf>
    <xf numFmtId="0" fontId="6" fillId="3" borderId="16" xfId="0" applyFont="1" applyFill="1" applyBorder="1" applyProtection="1"/>
    <xf numFmtId="0" fontId="6" fillId="3" borderId="17" xfId="0" applyFont="1" applyFill="1" applyBorder="1" applyProtection="1"/>
    <xf numFmtId="0" fontId="6" fillId="6" borderId="57" xfId="0" applyFont="1" applyFill="1" applyBorder="1" applyAlignment="1" applyProtection="1">
      <alignment horizontal="center" vertical="center"/>
    </xf>
    <xf numFmtId="0" fontId="5" fillId="0" borderId="23" xfId="0" applyFont="1" applyBorder="1" applyProtection="1"/>
    <xf numFmtId="0" fontId="5" fillId="0" borderId="26" xfId="0" applyFont="1" applyBorder="1" applyProtection="1"/>
    <xf numFmtId="0" fontId="5" fillId="0" borderId="12" xfId="0" applyFont="1" applyBorder="1" applyProtection="1"/>
    <xf numFmtId="0" fontId="5" fillId="0" borderId="14" xfId="0" applyFont="1" applyBorder="1" applyProtection="1"/>
    <xf numFmtId="0" fontId="5" fillId="0" borderId="19" xfId="0" applyFont="1" applyBorder="1" applyProtection="1"/>
    <xf numFmtId="0" fontId="5" fillId="0" borderId="31" xfId="0" applyFont="1" applyBorder="1" applyProtection="1"/>
    <xf numFmtId="49" fontId="0" fillId="0" borderId="0" xfId="0" applyNumberFormat="1"/>
    <xf numFmtId="0" fontId="1" fillId="0" borderId="0" xfId="0" applyNumberFormat="1" applyFont="1" applyAlignment="1">
      <alignment horizontal="center" vertical="center"/>
    </xf>
    <xf numFmtId="0" fontId="0" fillId="0" borderId="0" xfId="0" applyNumberFormat="1"/>
    <xf numFmtId="0" fontId="0" fillId="0" borderId="0" xfId="0" quotePrefix="1" applyNumberFormat="1"/>
    <xf numFmtId="0" fontId="5" fillId="0" borderId="14" xfId="0" applyFont="1" applyBorder="1" applyAlignment="1" applyProtection="1">
      <alignment horizontal="center" vertical="center"/>
    </xf>
    <xf numFmtId="49" fontId="5" fillId="0" borderId="0" xfId="0" applyNumberFormat="1" applyFont="1" applyAlignment="1" applyProtection="1">
      <alignment vertical="top" wrapText="1"/>
    </xf>
    <xf numFmtId="0" fontId="6" fillId="4" borderId="0" xfId="0" applyFont="1" applyFill="1" applyBorder="1" applyAlignment="1" applyProtection="1">
      <alignment vertical="center" wrapText="1"/>
    </xf>
    <xf numFmtId="0" fontId="0" fillId="4" borderId="0" xfId="0" applyFill="1" applyBorder="1"/>
    <xf numFmtId="0" fontId="0" fillId="4" borderId="0" xfId="0" applyFill="1"/>
    <xf numFmtId="0" fontId="0" fillId="4" borderId="38" xfId="0" applyFill="1" applyBorder="1"/>
    <xf numFmtId="0" fontId="0" fillId="4" borderId="79" xfId="0" applyFill="1" applyBorder="1"/>
    <xf numFmtId="0" fontId="0" fillId="4" borderId="59" xfId="0" applyFill="1" applyBorder="1"/>
    <xf numFmtId="0" fontId="0" fillId="4" borderId="60" xfId="0" applyFill="1" applyBorder="1"/>
    <xf numFmtId="0" fontId="0" fillId="4" borderId="67" xfId="0" applyFill="1" applyBorder="1"/>
    <xf numFmtId="0" fontId="0" fillId="4" borderId="36" xfId="0" applyFill="1" applyBorder="1"/>
    <xf numFmtId="0" fontId="0" fillId="4" borderId="68" xfId="0" applyFill="1" applyBorder="1"/>
    <xf numFmtId="0" fontId="1" fillId="4" borderId="48" xfId="0" applyFont="1" applyFill="1" applyBorder="1" applyAlignment="1">
      <alignment horizontal="center" vertical="center"/>
    </xf>
    <xf numFmtId="0" fontId="1" fillId="4" borderId="38" xfId="0" applyFont="1" applyFill="1" applyBorder="1" applyAlignment="1">
      <alignment horizontal="center" vertical="center"/>
    </xf>
    <xf numFmtId="0" fontId="5" fillId="0" borderId="36" xfId="0" applyFont="1" applyBorder="1" applyAlignment="1" applyProtection="1">
      <alignment horizontal="center"/>
    </xf>
    <xf numFmtId="0" fontId="6" fillId="4" borderId="16" xfId="0" applyFont="1" applyFill="1" applyBorder="1" applyAlignment="1" applyProtection="1">
      <alignment vertical="center" wrapText="1"/>
    </xf>
    <xf numFmtId="0" fontId="5" fillId="4" borderId="10" xfId="0" applyFont="1" applyFill="1" applyBorder="1" applyAlignment="1" applyProtection="1">
      <alignment vertical="top" wrapText="1"/>
    </xf>
    <xf numFmtId="0" fontId="6" fillId="4" borderId="16" xfId="0" applyFont="1" applyFill="1" applyBorder="1" applyAlignment="1" applyProtection="1">
      <alignment horizontal="right" vertical="center"/>
    </xf>
    <xf numFmtId="0" fontId="5" fillId="4" borderId="16" xfId="0" applyFont="1" applyFill="1" applyBorder="1" applyAlignment="1" applyProtection="1">
      <alignment horizontal="center" vertical="center" wrapText="1"/>
    </xf>
    <xf numFmtId="22" fontId="5" fillId="4" borderId="16" xfId="0" applyNumberFormat="1" applyFont="1" applyFill="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0" fillId="7" borderId="71" xfId="1" applyFont="1" applyBorder="1" applyAlignment="1">
      <alignment horizontal="left" vertical="top" wrapText="1"/>
    </xf>
    <xf numFmtId="0" fontId="0" fillId="7" borderId="72" xfId="1" applyFont="1" applyBorder="1" applyAlignment="1">
      <alignment horizontal="left" vertical="top" wrapText="1"/>
    </xf>
    <xf numFmtId="0" fontId="0" fillId="7" borderId="73" xfId="1" applyFont="1" applyBorder="1" applyAlignment="1">
      <alignment horizontal="left" vertical="top" wrapText="1"/>
    </xf>
    <xf numFmtId="0" fontId="0" fillId="7" borderId="74" xfId="1" applyFont="1" applyBorder="1" applyAlignment="1">
      <alignment horizontal="left" vertical="top" wrapText="1"/>
    </xf>
    <xf numFmtId="0" fontId="0" fillId="7" borderId="58" xfId="1" applyFont="1" applyBorder="1" applyAlignment="1">
      <alignment horizontal="left" vertical="top" wrapText="1"/>
    </xf>
    <xf numFmtId="0" fontId="0" fillId="7" borderId="75" xfId="1" applyFont="1" applyBorder="1" applyAlignment="1">
      <alignment horizontal="left" vertical="top" wrapText="1"/>
    </xf>
    <xf numFmtId="0" fontId="0" fillId="7" borderId="76" xfId="1" applyFont="1" applyBorder="1" applyAlignment="1">
      <alignment horizontal="left" vertical="top" wrapText="1"/>
    </xf>
    <xf numFmtId="0" fontId="0" fillId="7" borderId="77" xfId="1" applyFont="1" applyBorder="1" applyAlignment="1">
      <alignment horizontal="left" vertical="top" wrapText="1"/>
    </xf>
    <xf numFmtId="0" fontId="0" fillId="7" borderId="78" xfId="1" applyFont="1" applyBorder="1" applyAlignment="1">
      <alignment horizontal="left" vertical="top" wrapText="1"/>
    </xf>
    <xf numFmtId="0" fontId="5" fillId="0" borderId="56"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6" fillId="3" borderId="53" xfId="0" applyFont="1" applyFill="1" applyBorder="1" applyAlignment="1" applyProtection="1">
      <alignment horizontal="center" vertical="center"/>
    </xf>
    <xf numFmtId="0" fontId="6" fillId="3" borderId="54"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5" fillId="0" borderId="44" xfId="0" applyFont="1" applyBorder="1" applyAlignment="1" applyProtection="1">
      <alignment horizontal="center"/>
    </xf>
    <xf numFmtId="0" fontId="5" fillId="0" borderId="45" xfId="0" applyFont="1" applyBorder="1" applyAlignment="1" applyProtection="1">
      <alignment horizontal="center"/>
    </xf>
    <xf numFmtId="0" fontId="5" fillId="0" borderId="25" xfId="0" applyFont="1" applyBorder="1" applyAlignment="1" applyProtection="1">
      <alignment horizontal="center"/>
    </xf>
    <xf numFmtId="0" fontId="5" fillId="0" borderId="26" xfId="0" applyFont="1" applyBorder="1" applyAlignment="1" applyProtection="1">
      <alignment horizontal="center"/>
    </xf>
    <xf numFmtId="0" fontId="6" fillId="3" borderId="15" xfId="0" applyFont="1" applyFill="1" applyBorder="1" applyAlignment="1" applyProtection="1">
      <alignment horizontal="center" vertical="center"/>
    </xf>
    <xf numFmtId="0" fontId="6" fillId="3" borderId="16" xfId="0" applyFont="1" applyFill="1" applyBorder="1" applyAlignment="1" applyProtection="1">
      <alignment horizontal="center" vertical="center"/>
    </xf>
    <xf numFmtId="0" fontId="6" fillId="3" borderId="17" xfId="0" applyFont="1" applyFill="1" applyBorder="1" applyAlignment="1" applyProtection="1">
      <alignment horizontal="center" vertical="center"/>
    </xf>
    <xf numFmtId="0" fontId="5" fillId="0" borderId="16" xfId="0" applyFont="1" applyFill="1" applyBorder="1" applyAlignment="1" applyProtection="1">
      <alignment horizontal="left" vertical="center"/>
      <protection locked="0"/>
    </xf>
    <xf numFmtId="0" fontId="5" fillId="0" borderId="17" xfId="0" applyFont="1" applyFill="1" applyBorder="1" applyAlignment="1" applyProtection="1">
      <alignment horizontal="left" vertical="center"/>
      <protection locked="0"/>
    </xf>
    <xf numFmtId="0" fontId="6" fillId="6" borderId="33" xfId="0" applyFont="1" applyFill="1" applyBorder="1" applyAlignment="1" applyProtection="1">
      <alignment horizontal="left" vertical="center"/>
    </xf>
    <xf numFmtId="0" fontId="6" fillId="6" borderId="52" xfId="0" applyFont="1" applyFill="1" applyBorder="1" applyAlignment="1" applyProtection="1">
      <alignment horizontal="left" vertical="center"/>
    </xf>
    <xf numFmtId="0" fontId="6" fillId="6" borderId="47" xfId="0" applyFont="1" applyFill="1" applyBorder="1" applyAlignment="1" applyProtection="1">
      <alignment horizontal="left" vertical="center"/>
    </xf>
    <xf numFmtId="0" fontId="6" fillId="6" borderId="44" xfId="0" applyFont="1" applyFill="1" applyBorder="1" applyAlignment="1" applyProtection="1">
      <alignment horizontal="left" vertical="center"/>
    </xf>
    <xf numFmtId="0" fontId="6" fillId="6" borderId="45" xfId="0" applyFont="1" applyFill="1" applyBorder="1" applyAlignment="1" applyProtection="1">
      <alignment horizontal="left" vertical="center"/>
    </xf>
    <xf numFmtId="0" fontId="5" fillId="0" borderId="44" xfId="0" applyFont="1" applyBorder="1" applyAlignment="1" applyProtection="1">
      <alignment horizontal="center" vertical="center"/>
    </xf>
    <xf numFmtId="22" fontId="5" fillId="0" borderId="44" xfId="0" applyNumberFormat="1" applyFont="1" applyBorder="1" applyAlignment="1" applyProtection="1">
      <alignment horizontal="center" vertical="center"/>
    </xf>
    <xf numFmtId="0" fontId="6" fillId="6" borderId="23" xfId="0" applyFont="1" applyFill="1" applyBorder="1" applyAlignment="1" applyProtection="1">
      <alignment horizontal="left" vertical="center"/>
    </xf>
    <xf numFmtId="0" fontId="6" fillId="6" borderId="25" xfId="0" applyFont="1" applyFill="1" applyBorder="1" applyAlignment="1" applyProtection="1">
      <alignment horizontal="left" vertical="center"/>
    </xf>
    <xf numFmtId="0" fontId="5" fillId="0" borderId="25" xfId="0" applyFont="1" applyBorder="1" applyAlignment="1" applyProtection="1">
      <alignment horizontal="center" vertical="center"/>
    </xf>
    <xf numFmtId="22" fontId="5" fillId="0" borderId="25" xfId="0" applyNumberFormat="1" applyFont="1" applyBorder="1" applyAlignment="1" applyProtection="1">
      <alignment horizontal="center" vertical="center"/>
    </xf>
    <xf numFmtId="0" fontId="5" fillId="0" borderId="24"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49"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6" fillId="6" borderId="4" xfId="0" applyFont="1" applyFill="1" applyBorder="1" applyAlignment="1" applyProtection="1">
      <alignment horizontal="center" vertical="center"/>
    </xf>
    <xf numFmtId="0" fontId="6" fillId="6" borderId="5" xfId="0" applyFont="1" applyFill="1" applyBorder="1" applyAlignment="1" applyProtection="1">
      <alignment horizontal="center" vertical="center"/>
    </xf>
    <xf numFmtId="0" fontId="6" fillId="6" borderId="6" xfId="0" applyFont="1" applyFill="1" applyBorder="1" applyAlignment="1" applyProtection="1">
      <alignment horizontal="center" vertical="center"/>
    </xf>
    <xf numFmtId="0" fontId="6" fillId="6" borderId="12" xfId="0" applyFont="1" applyFill="1" applyBorder="1" applyAlignment="1" applyProtection="1">
      <alignment horizontal="left" vertical="center"/>
    </xf>
    <xf numFmtId="0" fontId="6" fillId="6" borderId="13" xfId="0" applyFont="1" applyFill="1" applyBorder="1" applyAlignment="1" applyProtection="1">
      <alignment horizontal="left" vertical="center"/>
    </xf>
    <xf numFmtId="0" fontId="6" fillId="6" borderId="27" xfId="0" applyFont="1" applyFill="1" applyBorder="1" applyAlignment="1" applyProtection="1">
      <alignment horizontal="left" vertical="center"/>
    </xf>
    <xf numFmtId="0" fontId="6" fillId="6" borderId="39" xfId="0" applyFont="1" applyFill="1" applyBorder="1" applyAlignment="1" applyProtection="1">
      <alignment horizontal="left" vertical="center"/>
    </xf>
    <xf numFmtId="0" fontId="6" fillId="6" borderId="40" xfId="0" applyFont="1" applyFill="1" applyBorder="1" applyAlignment="1" applyProtection="1">
      <alignment horizontal="left" vertical="center"/>
    </xf>
    <xf numFmtId="0" fontId="6" fillId="6" borderId="19" xfId="0" applyFont="1" applyFill="1" applyBorder="1" applyAlignment="1" applyProtection="1">
      <alignment horizontal="left" vertical="center"/>
    </xf>
    <xf numFmtId="0" fontId="6" fillId="6" borderId="20" xfId="0" applyFont="1" applyFill="1" applyBorder="1" applyAlignment="1" applyProtection="1">
      <alignment horizontal="left" vertical="center"/>
    </xf>
    <xf numFmtId="0" fontId="6" fillId="6" borderId="28" xfId="0" applyFont="1" applyFill="1" applyBorder="1" applyAlignment="1" applyProtection="1">
      <alignment horizontal="left" vertical="center"/>
    </xf>
    <xf numFmtId="0" fontId="6" fillId="6" borderId="34" xfId="0" applyFont="1" applyFill="1" applyBorder="1" applyAlignment="1" applyProtection="1">
      <alignment horizontal="left" vertical="center"/>
    </xf>
    <xf numFmtId="0" fontId="6" fillId="6" borderId="7" xfId="0" applyFont="1" applyFill="1" applyBorder="1" applyAlignment="1" applyProtection="1">
      <alignment horizontal="center" vertical="center"/>
    </xf>
    <xf numFmtId="0" fontId="6" fillId="6" borderId="8" xfId="0" applyFont="1" applyFill="1" applyBorder="1" applyAlignment="1" applyProtection="1">
      <alignment horizontal="center" vertical="center"/>
    </xf>
    <xf numFmtId="0" fontId="6" fillId="6" borderId="9" xfId="0" applyFont="1" applyFill="1" applyBorder="1" applyAlignment="1" applyProtection="1">
      <alignment horizontal="center" vertical="center"/>
    </xf>
    <xf numFmtId="0" fontId="6" fillId="6" borderId="24" xfId="0" applyFont="1" applyFill="1" applyBorder="1" applyAlignment="1" applyProtection="1">
      <alignment horizontal="left" vertical="center"/>
    </xf>
    <xf numFmtId="0" fontId="6" fillId="6" borderId="7" xfId="0" applyFont="1" applyFill="1" applyBorder="1" applyAlignment="1" applyProtection="1">
      <alignment horizontal="left" vertical="center"/>
    </xf>
    <xf numFmtId="0" fontId="6" fillId="6" borderId="8" xfId="0" applyFont="1" applyFill="1" applyBorder="1" applyAlignment="1" applyProtection="1">
      <alignment horizontal="left" vertical="center"/>
    </xf>
    <xf numFmtId="0" fontId="6" fillId="6" borderId="9" xfId="0" applyFont="1" applyFill="1" applyBorder="1" applyAlignment="1" applyProtection="1">
      <alignment horizontal="left" vertical="center"/>
    </xf>
    <xf numFmtId="165" fontId="5" fillId="0" borderId="7" xfId="0" applyNumberFormat="1" applyFont="1" applyBorder="1" applyAlignment="1" applyProtection="1">
      <alignment horizontal="center" vertical="center"/>
      <protection locked="0"/>
    </xf>
    <xf numFmtId="165" fontId="5" fillId="0" borderId="8" xfId="0" applyNumberFormat="1" applyFont="1" applyBorder="1" applyAlignment="1" applyProtection="1">
      <alignment horizontal="center" vertical="center"/>
      <protection locked="0"/>
    </xf>
    <xf numFmtId="165" fontId="5" fillId="0" borderId="9" xfId="0" applyNumberFormat="1"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6" fillId="6" borderId="22" xfId="0" applyFont="1" applyFill="1" applyBorder="1" applyAlignment="1" applyProtection="1">
      <alignment horizontal="left" vertical="center"/>
    </xf>
    <xf numFmtId="0" fontId="6" fillId="6" borderId="32" xfId="0" applyFont="1" applyFill="1" applyBorder="1" applyAlignment="1" applyProtection="1">
      <alignment horizontal="left" vertical="center"/>
    </xf>
    <xf numFmtId="0" fontId="6" fillId="3" borderId="16" xfId="0" applyFont="1" applyFill="1" applyBorder="1" applyAlignment="1" applyProtection="1">
      <alignment horizontal="left" vertical="center"/>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49" fontId="5" fillId="0" borderId="18" xfId="0" applyNumberFormat="1" applyFont="1" applyBorder="1" applyAlignment="1" applyProtection="1">
      <alignment horizontal="center" vertical="center"/>
      <protection locked="0"/>
    </xf>
    <xf numFmtId="49" fontId="5" fillId="0" borderId="21" xfId="0" applyNumberFormat="1" applyFont="1" applyBorder="1" applyAlignment="1" applyProtection="1">
      <alignment horizontal="center" vertical="center"/>
      <protection locked="0"/>
    </xf>
    <xf numFmtId="0" fontId="6" fillId="6" borderId="30" xfId="0" applyFont="1" applyFill="1" applyBorder="1" applyAlignment="1" applyProtection="1">
      <alignment horizontal="left" vertical="center"/>
    </xf>
    <xf numFmtId="0" fontId="6" fillId="6" borderId="18" xfId="0" applyFont="1" applyFill="1" applyBorder="1" applyAlignment="1" applyProtection="1">
      <alignment horizontal="left" vertical="center"/>
    </xf>
    <xf numFmtId="49" fontId="5" fillId="0" borderId="25" xfId="0" applyNumberFormat="1" applyFont="1" applyBorder="1" applyAlignment="1" applyProtection="1">
      <alignment horizontal="center" vertical="center"/>
    </xf>
    <xf numFmtId="49" fontId="5" fillId="0" borderId="26" xfId="0" applyNumberFormat="1" applyFont="1" applyBorder="1" applyAlignment="1" applyProtection="1">
      <alignment horizontal="center" vertical="center"/>
    </xf>
    <xf numFmtId="165" fontId="5" fillId="0" borderId="18" xfId="0" applyNumberFormat="1" applyFont="1" applyBorder="1" applyAlignment="1" applyProtection="1">
      <alignment horizontal="center" vertical="center"/>
      <protection locked="0"/>
    </xf>
    <xf numFmtId="165" fontId="5" fillId="0" borderId="21" xfId="0" applyNumberFormat="1" applyFont="1" applyBorder="1" applyAlignment="1" applyProtection="1">
      <alignment horizontal="center" vertical="center"/>
      <protection locked="0"/>
    </xf>
    <xf numFmtId="0" fontId="4" fillId="6" borderId="34" xfId="0" applyNumberFormat="1" applyFont="1" applyFill="1" applyBorder="1" applyAlignment="1" applyProtection="1">
      <alignment horizontal="left" vertical="center"/>
    </xf>
    <xf numFmtId="0" fontId="4" fillId="6" borderId="29" xfId="0" applyNumberFormat="1" applyFont="1" applyFill="1" applyBorder="1" applyAlignment="1" applyProtection="1">
      <alignment horizontal="left" vertical="center"/>
    </xf>
    <xf numFmtId="0" fontId="6" fillId="6" borderId="47" xfId="0" applyFont="1" applyFill="1" applyBorder="1" applyAlignment="1" applyProtection="1">
      <alignment horizontal="center" vertical="center"/>
    </xf>
    <xf numFmtId="0" fontId="6" fillId="6" borderId="44" xfId="0" applyFont="1" applyFill="1" applyBorder="1" applyAlignment="1" applyProtection="1">
      <alignment horizontal="center" vertical="center"/>
    </xf>
    <xf numFmtId="0" fontId="6" fillId="6" borderId="45" xfId="0" applyFont="1" applyFill="1" applyBorder="1" applyAlignment="1" applyProtection="1">
      <alignment horizontal="center" vertical="center"/>
    </xf>
    <xf numFmtId="0" fontId="5" fillId="0" borderId="23" xfId="0" applyFont="1" applyBorder="1" applyAlignment="1" applyProtection="1">
      <alignment horizontal="center" vertical="center"/>
      <protection locked="0"/>
    </xf>
    <xf numFmtId="0" fontId="5" fillId="0" borderId="30"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2" fillId="5" borderId="1" xfId="0" applyFont="1" applyFill="1" applyBorder="1" applyAlignment="1" applyProtection="1">
      <alignment horizontal="center" vertical="center"/>
    </xf>
    <xf numFmtId="0" fontId="2" fillId="5" borderId="2" xfId="0" applyFont="1" applyFill="1" applyBorder="1" applyAlignment="1" applyProtection="1">
      <alignment horizontal="center" vertical="center"/>
    </xf>
    <xf numFmtId="0" fontId="2" fillId="5" borderId="3" xfId="0" applyFont="1" applyFill="1" applyBorder="1" applyAlignment="1" applyProtection="1">
      <alignment horizontal="center" vertical="center"/>
    </xf>
    <xf numFmtId="0" fontId="2" fillId="5" borderId="15" xfId="0" applyFont="1" applyFill="1" applyBorder="1" applyAlignment="1" applyProtection="1">
      <alignment horizontal="center" vertical="center"/>
    </xf>
    <xf numFmtId="0" fontId="2" fillId="5" borderId="16" xfId="0" applyFont="1" applyFill="1" applyBorder="1" applyAlignment="1" applyProtection="1">
      <alignment horizontal="center" vertical="center"/>
    </xf>
    <xf numFmtId="0" fontId="2" fillId="5" borderId="17" xfId="0" applyFont="1" applyFill="1" applyBorder="1" applyAlignment="1" applyProtection="1">
      <alignment horizontal="center" vertical="center"/>
    </xf>
    <xf numFmtId="0" fontId="3" fillId="6" borderId="47" xfId="0" applyFont="1" applyFill="1" applyBorder="1" applyAlignment="1" applyProtection="1">
      <alignment horizontal="center" vertical="center"/>
    </xf>
    <xf numFmtId="0" fontId="3" fillId="6" borderId="44" xfId="0" applyFont="1" applyFill="1" applyBorder="1" applyAlignment="1" applyProtection="1">
      <alignment horizontal="center" vertical="center"/>
    </xf>
    <xf numFmtId="0" fontId="3" fillId="6" borderId="45" xfId="0" applyFont="1" applyFill="1" applyBorder="1" applyAlignment="1" applyProtection="1">
      <alignment horizontal="center" vertical="center"/>
    </xf>
    <xf numFmtId="0" fontId="4" fillId="6" borderId="40" xfId="0" applyNumberFormat="1" applyFont="1" applyFill="1" applyBorder="1" applyAlignment="1" applyProtection="1">
      <alignment horizontal="left" vertical="center"/>
    </xf>
    <xf numFmtId="0" fontId="4" fillId="6" borderId="41" xfId="0" applyNumberFormat="1" applyFont="1" applyFill="1" applyBorder="1" applyAlignment="1" applyProtection="1">
      <alignment horizontal="left" vertical="center"/>
    </xf>
    <xf numFmtId="0" fontId="2" fillId="2" borderId="10"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11" xfId="0" applyFont="1" applyFill="1" applyBorder="1" applyAlignment="1" applyProtection="1">
      <alignment horizontal="center" vertical="center" wrapText="1"/>
    </xf>
    <xf numFmtId="0" fontId="5" fillId="0" borderId="1" xfId="0" applyFont="1" applyBorder="1" applyAlignment="1" applyProtection="1">
      <alignment horizontal="left" vertical="top" wrapText="1"/>
    </xf>
    <xf numFmtId="0" fontId="5" fillId="0" borderId="2" xfId="0" applyFont="1" applyBorder="1" applyAlignment="1" applyProtection="1">
      <alignment horizontal="left" vertical="top" wrapText="1"/>
    </xf>
    <xf numFmtId="0" fontId="5" fillId="0" borderId="3" xfId="0" applyFont="1" applyBorder="1" applyAlignment="1" applyProtection="1">
      <alignment horizontal="left" vertical="top" wrapText="1"/>
    </xf>
    <xf numFmtId="0" fontId="5" fillId="0" borderId="10" xfId="0" applyFont="1" applyBorder="1" applyAlignment="1" applyProtection="1">
      <alignment horizontal="left" vertical="top" wrapText="1"/>
    </xf>
    <xf numFmtId="0" fontId="5" fillId="0" borderId="0" xfId="0" applyFont="1" applyBorder="1" applyAlignment="1" applyProtection="1">
      <alignment horizontal="left" vertical="top" wrapText="1"/>
    </xf>
    <xf numFmtId="0" fontId="5" fillId="0" borderId="11" xfId="0" applyFont="1" applyBorder="1" applyAlignment="1" applyProtection="1">
      <alignment horizontal="left" vertical="top" wrapText="1"/>
    </xf>
    <xf numFmtId="0" fontId="5" fillId="0" borderId="39"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41" xfId="0" applyFont="1" applyBorder="1" applyAlignment="1" applyProtection="1">
      <alignment horizontal="center" vertical="center"/>
    </xf>
    <xf numFmtId="0" fontId="6" fillId="4" borderId="0" xfId="0" applyFont="1" applyFill="1" applyBorder="1" applyAlignment="1" applyProtection="1">
      <alignment horizontal="center" wrapText="1"/>
    </xf>
    <xf numFmtId="0" fontId="6" fillId="4" borderId="11" xfId="0" applyFont="1" applyFill="1" applyBorder="1" applyAlignment="1" applyProtection="1">
      <alignment horizontal="center" wrapText="1"/>
    </xf>
    <xf numFmtId="0" fontId="16" fillId="4" borderId="0" xfId="0" applyFont="1" applyFill="1" applyBorder="1" applyAlignment="1" applyProtection="1">
      <alignment horizontal="center" vertical="center" wrapText="1"/>
    </xf>
    <xf numFmtId="0" fontId="16" fillId="4" borderId="11" xfId="0" applyFont="1" applyFill="1" applyBorder="1" applyAlignment="1" applyProtection="1">
      <alignment horizontal="center" vertical="center" wrapText="1"/>
    </xf>
    <xf numFmtId="0" fontId="16" fillId="4" borderId="16" xfId="0" applyFont="1" applyFill="1" applyBorder="1" applyAlignment="1" applyProtection="1">
      <alignment horizontal="center" vertical="center" wrapText="1"/>
    </xf>
    <xf numFmtId="0" fontId="16" fillId="4" borderId="17" xfId="0" applyFont="1" applyFill="1" applyBorder="1" applyAlignment="1" applyProtection="1">
      <alignment horizontal="center" vertical="center" wrapText="1"/>
    </xf>
    <xf numFmtId="0" fontId="4" fillId="6" borderId="38" xfId="0" applyNumberFormat="1" applyFont="1" applyFill="1" applyBorder="1" applyAlignment="1" applyProtection="1">
      <alignment horizontal="left" vertical="center" wrapText="1"/>
    </xf>
    <xf numFmtId="0" fontId="4" fillId="6" borderId="36" xfId="0" applyNumberFormat="1" applyFont="1" applyFill="1" applyBorder="1" applyAlignment="1" applyProtection="1">
      <alignment horizontal="left" vertical="center" wrapText="1"/>
    </xf>
    <xf numFmtId="0" fontId="6" fillId="6" borderId="12" xfId="0" applyFont="1" applyFill="1" applyBorder="1" applyAlignment="1" applyProtection="1">
      <alignment horizontal="center" vertical="center"/>
    </xf>
    <xf numFmtId="0" fontId="6" fillId="6" borderId="13" xfId="0" applyFont="1" applyFill="1" applyBorder="1" applyAlignment="1" applyProtection="1">
      <alignment horizontal="center" vertical="center"/>
    </xf>
    <xf numFmtId="0" fontId="6" fillId="6" borderId="14" xfId="0" applyFont="1" applyFill="1" applyBorder="1" applyAlignment="1" applyProtection="1">
      <alignment horizontal="center" vertical="center"/>
    </xf>
    <xf numFmtId="0" fontId="5" fillId="0" borderId="19" xfId="0" applyFont="1" applyBorder="1" applyAlignment="1" applyProtection="1">
      <alignment horizontal="center" vertical="center"/>
    </xf>
    <xf numFmtId="0" fontId="5" fillId="0" borderId="20" xfId="0" applyFont="1" applyBorder="1" applyAlignment="1" applyProtection="1">
      <alignment horizontal="center" vertical="center"/>
    </xf>
    <xf numFmtId="0" fontId="5" fillId="0" borderId="31" xfId="0" applyFont="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49" fontId="5" fillId="0" borderId="2" xfId="0" applyNumberFormat="1" applyFont="1" applyBorder="1" applyAlignment="1" applyProtection="1">
      <alignment horizontal="center" vertical="center"/>
      <protection locked="0"/>
    </xf>
    <xf numFmtId="49" fontId="5" fillId="0" borderId="3" xfId="0" applyNumberFormat="1" applyFont="1" applyBorder="1" applyAlignment="1" applyProtection="1">
      <alignment horizontal="center" vertical="center"/>
      <protection locked="0"/>
    </xf>
    <xf numFmtId="49" fontId="5" fillId="0" borderId="16" xfId="0" applyNumberFormat="1" applyFont="1" applyBorder="1" applyAlignment="1" applyProtection="1">
      <alignment horizontal="center" vertical="center"/>
      <protection locked="0"/>
    </xf>
    <xf numFmtId="49" fontId="5" fillId="0" borderId="17" xfId="0" applyNumberFormat="1"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6" fillId="6" borderId="39" xfId="0" applyFont="1" applyFill="1" applyBorder="1" applyAlignment="1" applyProtection="1">
      <alignment horizontal="center" vertical="center"/>
    </xf>
    <xf numFmtId="0" fontId="6" fillId="6" borderId="40" xfId="0" applyFont="1" applyFill="1" applyBorder="1" applyAlignment="1" applyProtection="1">
      <alignment horizontal="center" vertical="center"/>
    </xf>
    <xf numFmtId="0" fontId="6" fillId="6" borderId="41" xfId="0" applyFont="1" applyFill="1" applyBorder="1" applyAlignment="1" applyProtection="1">
      <alignment horizontal="center" vertical="center"/>
    </xf>
    <xf numFmtId="166" fontId="17" fillId="6" borderId="37" xfId="0" applyNumberFormat="1" applyFont="1" applyFill="1" applyBorder="1" applyAlignment="1" applyProtection="1">
      <alignment horizontal="center"/>
    </xf>
    <xf numFmtId="166" fontId="17" fillId="6" borderId="35" xfId="0" applyNumberFormat="1" applyFont="1" applyFill="1" applyBorder="1" applyAlignment="1" applyProtection="1">
      <alignment horizontal="center"/>
    </xf>
    <xf numFmtId="0" fontId="6" fillId="6" borderId="12" xfId="0" applyFont="1" applyFill="1" applyBorder="1" applyAlignment="1" applyProtection="1">
      <alignment horizontal="left" vertical="center" wrapText="1"/>
    </xf>
    <xf numFmtId="0" fontId="6" fillId="6" borderId="13" xfId="0" applyFont="1" applyFill="1" applyBorder="1" applyAlignment="1" applyProtection="1">
      <alignment horizontal="left" vertical="center" wrapText="1"/>
    </xf>
    <xf numFmtId="0" fontId="4" fillId="6" borderId="32" xfId="0" applyNumberFormat="1" applyFont="1" applyFill="1" applyBorder="1" applyAlignment="1" applyProtection="1">
      <alignment horizontal="left" vertical="center"/>
    </xf>
    <xf numFmtId="0" fontId="5" fillId="0" borderId="14"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164" fontId="5" fillId="0" borderId="23" xfId="0" applyNumberFormat="1" applyFont="1" applyBorder="1" applyAlignment="1" applyProtection="1">
      <alignment horizontal="center" vertical="center"/>
      <protection locked="0"/>
    </xf>
    <xf numFmtId="164" fontId="5" fillId="0" borderId="25" xfId="0" applyNumberFormat="1" applyFont="1" applyBorder="1" applyAlignment="1" applyProtection="1">
      <alignment horizontal="center" vertical="center"/>
      <protection locked="0"/>
    </xf>
    <xf numFmtId="164" fontId="5" fillId="0" borderId="24" xfId="0" applyNumberFormat="1" applyFont="1" applyBorder="1" applyAlignment="1" applyProtection="1">
      <alignment horizontal="center" vertical="center"/>
      <protection locked="0"/>
    </xf>
    <xf numFmtId="164" fontId="5" fillId="0" borderId="30" xfId="0" applyNumberFormat="1" applyFont="1" applyBorder="1" applyAlignment="1" applyProtection="1">
      <alignment horizontal="center" vertical="center"/>
      <protection locked="0"/>
    </xf>
    <xf numFmtId="164" fontId="5" fillId="0" borderId="18" xfId="0" applyNumberFormat="1" applyFont="1" applyBorder="1" applyAlignment="1" applyProtection="1">
      <alignment horizontal="center" vertical="center"/>
      <protection locked="0"/>
    </xf>
    <xf numFmtId="164" fontId="5" fillId="0" borderId="48" xfId="0" applyNumberFormat="1" applyFont="1" applyBorder="1" applyAlignment="1" applyProtection="1">
      <alignment horizontal="center" vertical="center"/>
      <protection locked="0"/>
    </xf>
    <xf numFmtId="0" fontId="5" fillId="0" borderId="23" xfId="0" applyFont="1" applyBorder="1" applyAlignment="1" applyProtection="1">
      <alignment horizontal="center" vertical="center"/>
    </xf>
    <xf numFmtId="0" fontId="5" fillId="0" borderId="26" xfId="0" applyFont="1" applyBorder="1" applyAlignment="1" applyProtection="1">
      <alignment horizontal="center" vertical="center"/>
    </xf>
    <xf numFmtId="49" fontId="5" fillId="0" borderId="10" xfId="0" applyNumberFormat="1" applyFont="1" applyBorder="1" applyAlignment="1" applyProtection="1">
      <alignment horizontal="center" vertical="center"/>
      <protection locked="0"/>
    </xf>
    <xf numFmtId="49" fontId="5" fillId="0" borderId="0" xfId="0" applyNumberFormat="1" applyFont="1" applyBorder="1" applyAlignment="1" applyProtection="1">
      <alignment horizontal="center" vertical="center"/>
      <protection locked="0"/>
    </xf>
    <xf numFmtId="49" fontId="5" fillId="0" borderId="11" xfId="0" applyNumberFormat="1" applyFont="1" applyBorder="1" applyAlignment="1" applyProtection="1">
      <alignment horizontal="center" vertical="center"/>
      <protection locked="0"/>
    </xf>
    <xf numFmtId="49" fontId="5" fillId="0" borderId="1" xfId="0" applyNumberFormat="1" applyFont="1" applyFill="1" applyBorder="1" applyAlignment="1" applyProtection="1">
      <alignment horizontal="center" vertical="center"/>
      <protection locked="0"/>
    </xf>
    <xf numFmtId="49" fontId="5" fillId="0" borderId="2" xfId="0" applyNumberFormat="1" applyFont="1" applyFill="1" applyBorder="1" applyAlignment="1" applyProtection="1">
      <alignment horizontal="center" vertical="center"/>
      <protection locked="0"/>
    </xf>
    <xf numFmtId="49" fontId="5" fillId="0" borderId="3" xfId="0" applyNumberFormat="1" applyFont="1" applyFill="1" applyBorder="1" applyAlignment="1" applyProtection="1">
      <alignment horizontal="center" vertical="center"/>
      <protection locked="0"/>
    </xf>
    <xf numFmtId="49" fontId="5" fillId="0" borderId="15" xfId="0" applyNumberFormat="1" applyFont="1" applyFill="1" applyBorder="1" applyAlignment="1" applyProtection="1">
      <alignment horizontal="center" vertical="center"/>
      <protection locked="0"/>
    </xf>
    <xf numFmtId="49" fontId="5" fillId="0" borderId="16" xfId="0" applyNumberFormat="1" applyFont="1" applyFill="1" applyBorder="1" applyAlignment="1" applyProtection="1">
      <alignment horizontal="center" vertical="center"/>
      <protection locked="0"/>
    </xf>
    <xf numFmtId="49" fontId="5" fillId="0" borderId="17" xfId="0" applyNumberFormat="1" applyFont="1" applyFill="1" applyBorder="1" applyAlignment="1" applyProtection="1">
      <alignment horizontal="center" vertical="center"/>
      <protection locked="0"/>
    </xf>
    <xf numFmtId="0" fontId="6" fillId="6" borderId="15" xfId="0" applyFont="1" applyFill="1" applyBorder="1" applyAlignment="1" applyProtection="1">
      <alignment horizontal="center" vertical="center"/>
    </xf>
    <xf numFmtId="0" fontId="6" fillId="6" borderId="16" xfId="0" applyFont="1" applyFill="1" applyBorder="1" applyAlignment="1" applyProtection="1">
      <alignment horizontal="center" vertical="center"/>
    </xf>
    <xf numFmtId="0" fontId="6" fillId="6" borderId="17" xfId="0" applyFont="1" applyFill="1" applyBorder="1" applyAlignment="1" applyProtection="1">
      <alignment horizontal="center" vertical="center"/>
    </xf>
    <xf numFmtId="0" fontId="3" fillId="6" borderId="15" xfId="0" applyFont="1" applyFill="1" applyBorder="1" applyAlignment="1" applyProtection="1">
      <alignment horizontal="center"/>
    </xf>
    <xf numFmtId="0" fontId="3" fillId="6" borderId="16" xfId="0" applyFont="1" applyFill="1" applyBorder="1" applyAlignment="1" applyProtection="1">
      <alignment horizontal="center"/>
    </xf>
    <xf numFmtId="0" fontId="3" fillId="6" borderId="5" xfId="0" applyFont="1" applyFill="1" applyBorder="1" applyAlignment="1" applyProtection="1">
      <alignment horizontal="center"/>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vertical="center"/>
    </xf>
    <xf numFmtId="0" fontId="3" fillId="6" borderId="8" xfId="0" applyFont="1" applyFill="1" applyBorder="1" applyAlignment="1" applyProtection="1">
      <alignment horizontal="center" vertical="center"/>
    </xf>
    <xf numFmtId="0" fontId="3" fillId="6" borderId="9" xfId="0" applyFont="1" applyFill="1" applyBorder="1" applyAlignment="1" applyProtection="1">
      <alignment horizontal="center" vertical="center"/>
    </xf>
    <xf numFmtId="0" fontId="5" fillId="0" borderId="1" xfId="0" quotePrefix="1" applyFont="1" applyBorder="1" applyAlignment="1" applyProtection="1">
      <alignment horizontal="center" vertical="center"/>
      <protection locked="0"/>
    </xf>
    <xf numFmtId="0" fontId="5" fillId="0" borderId="3" xfId="0" quotePrefix="1" applyFont="1" applyBorder="1" applyAlignment="1" applyProtection="1">
      <alignment horizontal="center" vertical="center"/>
      <protection locked="0"/>
    </xf>
    <xf numFmtId="0" fontId="5" fillId="0" borderId="15" xfId="0" quotePrefix="1" applyFont="1" applyBorder="1" applyAlignment="1" applyProtection="1">
      <alignment horizontal="center" vertical="center"/>
      <protection locked="0"/>
    </xf>
    <xf numFmtId="0" fontId="5" fillId="0" borderId="17" xfId="0" quotePrefix="1" applyFont="1" applyBorder="1" applyAlignment="1" applyProtection="1">
      <alignment horizontal="center" vertical="center"/>
      <protection locked="0"/>
    </xf>
    <xf numFmtId="49" fontId="6" fillId="6" borderId="4" xfId="0" applyNumberFormat="1" applyFont="1" applyFill="1" applyBorder="1" applyAlignment="1" applyProtection="1">
      <alignment horizontal="center" vertical="center"/>
    </xf>
    <xf numFmtId="49" fontId="6" fillId="6" borderId="5" xfId="0" applyNumberFormat="1" applyFont="1" applyFill="1" applyBorder="1" applyAlignment="1" applyProtection="1">
      <alignment horizontal="center" vertical="center"/>
    </xf>
    <xf numFmtId="49" fontId="6" fillId="6" borderId="6" xfId="0" applyNumberFormat="1" applyFont="1" applyFill="1" applyBorder="1" applyAlignment="1" applyProtection="1">
      <alignment horizontal="center" vertical="center"/>
    </xf>
    <xf numFmtId="0" fontId="6" fillId="6" borderId="51" xfId="0" applyFont="1" applyFill="1" applyBorder="1" applyAlignment="1" applyProtection="1">
      <alignment horizontal="center"/>
    </xf>
    <xf numFmtId="0" fontId="6" fillId="6" borderId="9" xfId="0" applyFont="1" applyFill="1" applyBorder="1" applyAlignment="1" applyProtection="1">
      <alignment horizontal="center"/>
    </xf>
    <xf numFmtId="0" fontId="6" fillId="6" borderId="50" xfId="0" applyFont="1" applyFill="1" applyBorder="1" applyAlignment="1" applyProtection="1">
      <alignment horizontal="center" vertical="center"/>
    </xf>
    <xf numFmtId="49" fontId="5" fillId="0" borderId="1" xfId="0" applyNumberFormat="1" applyFont="1" applyFill="1" applyBorder="1" applyAlignment="1" applyProtection="1">
      <alignment horizontal="center" vertical="center" wrapText="1"/>
      <protection locked="0"/>
    </xf>
    <xf numFmtId="49" fontId="5" fillId="0" borderId="3"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49" fontId="5" fillId="0" borderId="17" xfId="0" applyNumberFormat="1" applyFont="1" applyFill="1" applyBorder="1" applyAlignment="1" applyProtection="1">
      <alignment horizontal="center" vertical="center" wrapText="1"/>
      <protection locked="0"/>
    </xf>
    <xf numFmtId="0" fontId="5" fillId="0" borderId="3" xfId="0" applyFont="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5" fillId="0" borderId="1" xfId="0" applyNumberFormat="1" applyFont="1" applyBorder="1" applyAlignment="1" applyProtection="1">
      <alignment horizontal="center" vertical="center"/>
      <protection locked="0"/>
    </xf>
    <xf numFmtId="0" fontId="5" fillId="0" borderId="2" xfId="0" applyNumberFormat="1" applyFont="1" applyBorder="1" applyAlignment="1" applyProtection="1">
      <alignment horizontal="center" vertical="center"/>
      <protection locked="0"/>
    </xf>
    <xf numFmtId="0" fontId="5" fillId="0" borderId="3" xfId="0" applyNumberFormat="1" applyFont="1" applyBorder="1" applyAlignment="1" applyProtection="1">
      <alignment horizontal="center" vertical="center"/>
      <protection locked="0"/>
    </xf>
    <xf numFmtId="0" fontId="5" fillId="0" borderId="15" xfId="0" applyNumberFormat="1" applyFont="1" applyBorder="1" applyAlignment="1" applyProtection="1">
      <alignment horizontal="center" vertical="center"/>
      <protection locked="0"/>
    </xf>
    <xf numFmtId="0" fontId="5" fillId="0" borderId="16" xfId="0" applyNumberFormat="1" applyFont="1" applyBorder="1" applyAlignment="1" applyProtection="1">
      <alignment horizontal="center" vertical="center"/>
      <protection locked="0"/>
    </xf>
    <xf numFmtId="0" fontId="5" fillId="0" borderId="17" xfId="0" applyNumberFormat="1" applyFont="1" applyBorder="1" applyAlignment="1" applyProtection="1">
      <alignment horizontal="center" vertical="center"/>
      <protection locked="0"/>
    </xf>
    <xf numFmtId="0" fontId="5" fillId="0" borderId="1" xfId="0" applyNumberFormat="1" applyFont="1" applyFill="1" applyBorder="1" applyAlignment="1" applyProtection="1">
      <alignment horizontal="center" vertical="center"/>
      <protection locked="0"/>
    </xf>
    <xf numFmtId="0" fontId="5" fillId="0" borderId="2" xfId="0" applyNumberFormat="1" applyFont="1" applyFill="1" applyBorder="1" applyAlignment="1" applyProtection="1">
      <alignment horizontal="center" vertical="center"/>
      <protection locked="0"/>
    </xf>
    <xf numFmtId="0" fontId="5" fillId="0" borderId="3" xfId="0" applyNumberFormat="1" applyFont="1" applyFill="1" applyBorder="1" applyAlignment="1" applyProtection="1">
      <alignment horizontal="center" vertical="center"/>
      <protection locked="0"/>
    </xf>
    <xf numFmtId="0" fontId="5" fillId="0" borderId="15" xfId="0" applyNumberFormat="1" applyFont="1" applyFill="1" applyBorder="1" applyAlignment="1" applyProtection="1">
      <alignment horizontal="center" vertical="center"/>
      <protection locked="0"/>
    </xf>
    <xf numFmtId="0" fontId="5" fillId="0" borderId="1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24" fillId="2" borderId="15" xfId="0" applyFont="1" applyFill="1" applyBorder="1" applyAlignment="1" applyProtection="1">
      <alignment horizontal="center" vertical="top" wrapText="1"/>
    </xf>
    <xf numFmtId="0" fontId="24" fillId="2" borderId="16" xfId="0" applyFont="1" applyFill="1" applyBorder="1" applyAlignment="1" applyProtection="1">
      <alignment horizontal="center" vertical="top" wrapText="1"/>
    </xf>
    <xf numFmtId="0" fontId="24" fillId="2" borderId="1" xfId="0" applyFont="1" applyFill="1" applyBorder="1" applyAlignment="1" applyProtection="1">
      <alignment horizontal="center" wrapText="1"/>
    </xf>
    <xf numFmtId="0" fontId="24" fillId="2" borderId="2" xfId="0" applyFont="1" applyFill="1" applyBorder="1" applyAlignment="1" applyProtection="1">
      <alignment horizontal="center" wrapText="1"/>
    </xf>
    <xf numFmtId="49" fontId="5" fillId="0" borderId="25" xfId="0" applyNumberFormat="1" applyFont="1" applyBorder="1" applyAlignment="1" applyProtection="1">
      <alignment horizontal="center" vertical="center"/>
      <protection locked="0"/>
    </xf>
    <xf numFmtId="49" fontId="5" fillId="0" borderId="26" xfId="0" applyNumberFormat="1" applyFont="1" applyBorder="1" applyAlignment="1" applyProtection="1">
      <alignment horizontal="center" vertical="center"/>
      <protection locked="0"/>
    </xf>
    <xf numFmtId="0" fontId="6" fillId="4" borderId="0" xfId="0" applyFont="1" applyFill="1" applyBorder="1" applyAlignment="1" applyProtection="1">
      <alignment horizontal="right" vertical="center"/>
    </xf>
    <xf numFmtId="0" fontId="5" fillId="4" borderId="36" xfId="0" applyFont="1" applyFill="1" applyBorder="1" applyAlignment="1" applyProtection="1">
      <alignment horizontal="center" vertical="center" wrapText="1"/>
    </xf>
    <xf numFmtId="22" fontId="5" fillId="4" borderId="36" xfId="0" applyNumberFormat="1" applyFont="1" applyFill="1" applyBorder="1" applyAlignment="1" applyProtection="1">
      <alignment horizontal="center" vertical="center" wrapText="1"/>
    </xf>
    <xf numFmtId="49" fontId="5" fillId="7" borderId="62" xfId="1" applyNumberFormat="1" applyFont="1" applyBorder="1" applyAlignment="1" applyProtection="1">
      <alignment horizontal="left" vertical="top" wrapText="1"/>
    </xf>
    <xf numFmtId="49" fontId="5" fillId="7" borderId="63" xfId="1" applyNumberFormat="1" applyFont="1" applyBorder="1" applyAlignment="1" applyProtection="1">
      <alignment horizontal="left" vertical="top" wrapText="1"/>
    </xf>
    <xf numFmtId="49" fontId="5" fillId="7" borderId="64" xfId="1" applyNumberFormat="1" applyFont="1" applyBorder="1" applyAlignment="1" applyProtection="1">
      <alignment horizontal="left" vertical="top" wrapText="1"/>
    </xf>
    <xf numFmtId="49" fontId="5" fillId="7" borderId="65" xfId="1" applyNumberFormat="1" applyFont="1" applyBorder="1" applyAlignment="1" applyProtection="1">
      <alignment horizontal="left" vertical="top" wrapText="1"/>
    </xf>
    <xf numFmtId="49" fontId="5" fillId="7" borderId="58" xfId="1" applyNumberFormat="1" applyFont="1" applyBorder="1" applyAlignment="1" applyProtection="1">
      <alignment horizontal="left" vertical="top" wrapText="1"/>
    </xf>
    <xf numFmtId="49" fontId="5" fillId="7" borderId="66" xfId="1" applyNumberFormat="1" applyFont="1" applyBorder="1" applyAlignment="1" applyProtection="1">
      <alignment horizontal="left" vertical="top" wrapText="1"/>
    </xf>
    <xf numFmtId="49" fontId="5" fillId="7" borderId="69" xfId="1" applyNumberFormat="1" applyFont="1" applyBorder="1" applyAlignment="1" applyProtection="1">
      <alignment horizontal="left" vertical="top" wrapText="1"/>
    </xf>
    <xf numFmtId="49" fontId="5" fillId="7" borderId="61" xfId="1" applyNumberFormat="1" applyFont="1" applyBorder="1" applyAlignment="1" applyProtection="1">
      <alignment horizontal="left" vertical="top" wrapText="1"/>
    </xf>
    <xf numFmtId="49" fontId="5" fillId="7" borderId="70" xfId="1" applyNumberFormat="1" applyFont="1" applyBorder="1" applyAlignment="1" applyProtection="1">
      <alignment horizontal="left" vertical="top" wrapText="1"/>
    </xf>
    <xf numFmtId="49" fontId="5" fillId="7" borderId="59" xfId="1" applyNumberFormat="1" applyFont="1" applyBorder="1" applyAlignment="1" applyProtection="1">
      <alignment horizontal="left" vertical="top" wrapText="1"/>
    </xf>
    <xf numFmtId="49" fontId="5" fillId="7" borderId="0" xfId="1" applyNumberFormat="1" applyFont="1" applyBorder="1" applyAlignment="1" applyProtection="1">
      <alignment horizontal="left" vertical="top" wrapText="1"/>
    </xf>
    <xf numFmtId="49" fontId="5" fillId="7" borderId="60" xfId="1" applyNumberFormat="1" applyFont="1" applyBorder="1" applyAlignment="1" applyProtection="1">
      <alignment horizontal="left" vertical="top" wrapText="1"/>
    </xf>
    <xf numFmtId="49" fontId="5" fillId="7" borderId="67" xfId="1" applyNumberFormat="1" applyFont="1" applyBorder="1" applyAlignment="1" applyProtection="1">
      <alignment horizontal="left" vertical="top" wrapText="1"/>
    </xf>
    <xf numFmtId="49" fontId="5" fillId="7" borderId="36" xfId="1" applyNumberFormat="1" applyFont="1" applyBorder="1" applyAlignment="1" applyProtection="1">
      <alignment horizontal="left" vertical="top" wrapText="1"/>
    </xf>
    <xf numFmtId="49" fontId="5" fillId="7" borderId="68" xfId="1" applyNumberFormat="1" applyFont="1" applyBorder="1" applyAlignment="1" applyProtection="1">
      <alignment horizontal="left" vertical="top" wrapText="1"/>
    </xf>
    <xf numFmtId="0" fontId="5" fillId="0" borderId="52" xfId="0" applyNumberFormat="1" applyFont="1" applyBorder="1" applyAlignment="1" applyProtection="1">
      <alignment horizontal="center" vertical="center"/>
      <protection locked="0"/>
    </xf>
    <xf numFmtId="0" fontId="5" fillId="0" borderId="20" xfId="0" applyNumberFormat="1" applyFont="1" applyBorder="1" applyAlignment="1" applyProtection="1">
      <alignment horizontal="center" vertical="center"/>
      <protection locked="0"/>
    </xf>
    <xf numFmtId="0" fontId="5" fillId="0" borderId="31" xfId="0" applyNumberFormat="1" applyFont="1" applyBorder="1" applyAlignment="1" applyProtection="1">
      <alignment horizontal="center" vertical="center"/>
      <protection locked="0"/>
    </xf>
    <xf numFmtId="49" fontId="5" fillId="0" borderId="49" xfId="0" applyNumberFormat="1" applyFont="1" applyBorder="1" applyAlignment="1" applyProtection="1">
      <alignment horizontal="center" vertical="center"/>
      <protection locked="0"/>
    </xf>
    <xf numFmtId="0" fontId="5" fillId="0" borderId="52" xfId="0" applyFont="1" applyFill="1" applyBorder="1" applyAlignment="1" applyProtection="1">
      <alignment horizontal="center" vertical="center"/>
      <protection locked="0"/>
    </xf>
    <xf numFmtId="0" fontId="5" fillId="0" borderId="20" xfId="0" applyFont="1" applyFill="1" applyBorder="1" applyAlignment="1" applyProtection="1">
      <alignment horizontal="center" vertical="center"/>
      <protection locked="0"/>
    </xf>
    <xf numFmtId="0" fontId="5" fillId="0" borderId="31" xfId="0" applyFont="1" applyFill="1" applyBorder="1" applyAlignment="1" applyProtection="1">
      <alignment horizontal="center" vertical="center"/>
      <protection locked="0"/>
    </xf>
    <xf numFmtId="49" fontId="5" fillId="0" borderId="49" xfId="0" applyNumberFormat="1" applyFont="1" applyFill="1" applyBorder="1" applyAlignment="1" applyProtection="1">
      <alignment horizontal="center" vertical="center"/>
      <protection locked="0"/>
    </xf>
    <xf numFmtId="49" fontId="5" fillId="0" borderId="25" xfId="0" applyNumberFormat="1" applyFont="1" applyFill="1" applyBorder="1" applyAlignment="1" applyProtection="1">
      <alignment horizontal="center" vertical="center"/>
      <protection locked="0"/>
    </xf>
    <xf numFmtId="49" fontId="5" fillId="0" borderId="26" xfId="0" applyNumberFormat="1" applyFont="1" applyFill="1" applyBorder="1" applyAlignment="1" applyProtection="1">
      <alignment horizontal="center" vertical="center"/>
      <protection locked="0"/>
    </xf>
    <xf numFmtId="0" fontId="2" fillId="5" borderId="10" xfId="0" applyFont="1" applyFill="1" applyBorder="1" applyAlignment="1" applyProtection="1">
      <alignment horizontal="center" vertical="center"/>
    </xf>
    <xf numFmtId="0" fontId="2" fillId="5" borderId="0" xfId="0" applyFont="1" applyFill="1" applyBorder="1" applyAlignment="1" applyProtection="1">
      <alignment horizontal="center" vertical="center"/>
    </xf>
    <xf numFmtId="0" fontId="2" fillId="5" borderId="11" xfId="0" applyFont="1" applyFill="1" applyBorder="1" applyAlignment="1" applyProtection="1">
      <alignment horizontal="center" vertical="center"/>
    </xf>
    <xf numFmtId="41" fontId="5" fillId="4" borderId="1" xfId="0" applyNumberFormat="1" applyFont="1" applyFill="1" applyBorder="1" applyAlignment="1" applyProtection="1">
      <alignment horizontal="right" vertical="center"/>
      <protection locked="0"/>
    </xf>
    <xf numFmtId="41" fontId="5" fillId="4" borderId="2" xfId="0" applyNumberFormat="1" applyFont="1" applyFill="1" applyBorder="1" applyAlignment="1" applyProtection="1">
      <alignment horizontal="right" vertical="center"/>
      <protection locked="0"/>
    </xf>
    <xf numFmtId="41" fontId="5" fillId="4" borderId="15" xfId="0" applyNumberFormat="1" applyFont="1" applyFill="1" applyBorder="1" applyAlignment="1" applyProtection="1">
      <alignment horizontal="right" vertical="center"/>
      <protection locked="0"/>
    </xf>
    <xf numFmtId="41" fontId="5" fillId="4" borderId="16" xfId="0" applyNumberFormat="1" applyFont="1" applyFill="1" applyBorder="1" applyAlignment="1" applyProtection="1">
      <alignment horizontal="right" vertical="center"/>
      <protection locked="0"/>
    </xf>
    <xf numFmtId="0" fontId="5" fillId="4" borderId="3" xfId="0" applyFont="1" applyFill="1" applyBorder="1" applyAlignment="1" applyProtection="1">
      <alignment horizontal="center" vertical="center"/>
    </xf>
    <xf numFmtId="0" fontId="5" fillId="4" borderId="17" xfId="0" applyFont="1" applyFill="1" applyBorder="1" applyAlignment="1" applyProtection="1">
      <alignment horizontal="center" vertical="center"/>
    </xf>
    <xf numFmtId="0" fontId="12" fillId="0" borderId="38" xfId="0" applyFont="1" applyBorder="1" applyAlignment="1" applyProtection="1">
      <alignment horizontal="center" vertical="center"/>
    </xf>
    <xf numFmtId="0" fontId="8" fillId="0" borderId="0" xfId="0" applyFont="1" applyAlignment="1" applyProtection="1">
      <alignment horizontal="center" vertical="center"/>
    </xf>
    <xf numFmtId="0" fontId="5" fillId="0" borderId="36" xfId="0" applyFont="1" applyBorder="1" applyAlignment="1" applyProtection="1">
      <alignment horizontal="center"/>
    </xf>
    <xf numFmtId="0" fontId="20" fillId="0" borderId="36" xfId="0" applyFont="1" applyBorder="1" applyAlignment="1" applyProtection="1">
      <alignment horizontal="center"/>
    </xf>
    <xf numFmtId="0" fontId="11" fillId="0" borderId="0" xfId="0" applyFont="1" applyAlignment="1" applyProtection="1">
      <alignment horizontal="center"/>
    </xf>
    <xf numFmtId="15" fontId="5" fillId="0" borderId="36" xfId="0" applyNumberFormat="1" applyFont="1" applyBorder="1" applyAlignment="1" applyProtection="1">
      <alignment horizontal="center"/>
    </xf>
    <xf numFmtId="0" fontId="5" fillId="0" borderId="36" xfId="0" applyFont="1" applyBorder="1" applyAlignment="1" applyProtection="1">
      <alignment horizontal="center"/>
      <protection locked="0"/>
    </xf>
    <xf numFmtId="0" fontId="20" fillId="0" borderId="36" xfId="0" applyFont="1" applyBorder="1" applyAlignment="1" applyProtection="1">
      <alignment horizontal="center"/>
      <protection locked="0"/>
    </xf>
    <xf numFmtId="0" fontId="12" fillId="0" borderId="0" xfId="0" applyFont="1" applyAlignment="1" applyProtection="1">
      <alignment horizontal="center" vertical="center"/>
    </xf>
    <xf numFmtId="0" fontId="7" fillId="0" borderId="0" xfId="0" applyFont="1" applyBorder="1" applyAlignment="1" applyProtection="1">
      <alignment horizontal="center" vertical="center"/>
    </xf>
    <xf numFmtId="0" fontId="13" fillId="0" borderId="0" xfId="0" applyNumberFormat="1" applyFont="1" applyAlignment="1" applyProtection="1">
      <alignment horizontal="center" vertical="center"/>
    </xf>
    <xf numFmtId="0" fontId="14" fillId="0" borderId="0" xfId="0" applyFont="1" applyAlignment="1" applyProtection="1">
      <alignment horizontal="center" vertical="center"/>
    </xf>
    <xf numFmtId="0" fontId="5" fillId="0" borderId="0" xfId="0" applyFont="1" applyAlignment="1" applyProtection="1">
      <alignment horizontal="left" vertical="top" wrapText="1"/>
      <protection locked="0"/>
    </xf>
    <xf numFmtId="0" fontId="20" fillId="0" borderId="0" xfId="0" applyFont="1" applyAlignment="1" applyProtection="1">
      <alignment horizontal="left" vertical="top"/>
      <protection locked="0"/>
    </xf>
    <xf numFmtId="0" fontId="5" fillId="0" borderId="0" xfId="0" applyFont="1" applyBorder="1" applyAlignment="1" applyProtection="1">
      <alignment horizontal="center" vertical="top"/>
    </xf>
    <xf numFmtId="0" fontId="20" fillId="0" borderId="36" xfId="0" applyFont="1" applyBorder="1" applyAlignment="1" applyProtection="1">
      <alignment horizontal="center" vertical="top"/>
    </xf>
  </cellXfs>
  <cellStyles count="2">
    <cellStyle name="Normal" xfId="0" builtinId="0"/>
    <cellStyle name="Note" xfId="1" builtinId="10"/>
  </cellStyles>
  <dxfs count="68">
    <dxf>
      <fill>
        <patternFill>
          <bgColor rgb="FFFFFF00"/>
        </patternFill>
      </fill>
    </dxf>
    <dxf>
      <fill>
        <patternFill>
          <bgColor rgb="FFFFFF00"/>
        </patternFill>
      </fill>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right/>
        <top/>
        <bottom/>
        <vertical/>
        <horizontal/>
      </border>
    </dxf>
    <dxf>
      <font>
        <color theme="0" tint="-0.14996795556505021"/>
      </font>
      <fill>
        <patternFill>
          <bgColor theme="0" tint="-0.14996795556505021"/>
        </patternFill>
      </fill>
      <border>
        <bottom/>
        <vertical/>
        <horizontal/>
      </border>
    </dxf>
    <dxf>
      <fill>
        <patternFill>
          <bgColor rgb="FFFFFF00"/>
        </patternFill>
      </fill>
    </dxf>
    <dxf>
      <font>
        <color theme="0" tint="-0.14996795556505021"/>
      </font>
      <fill>
        <patternFill>
          <bgColor theme="0" tint="-0.14996795556505021"/>
        </patternFill>
      </fill>
      <border>
        <left/>
        <top/>
        <vertical/>
        <horizontal/>
      </border>
    </dxf>
    <dxf>
      <fill>
        <patternFill>
          <bgColor rgb="FFFFFF00"/>
        </patternFill>
      </fill>
    </dxf>
    <dxf>
      <font>
        <color theme="0" tint="-0.14996795556505021"/>
      </font>
      <fill>
        <patternFill>
          <bgColor theme="0" tint="-0.14996795556505021"/>
        </patternFill>
      </fill>
      <border>
        <right/>
        <top/>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left/>
        <vertical/>
        <horizontal/>
      </border>
    </dxf>
    <dxf>
      <fill>
        <patternFill>
          <bgColor rgb="FFFFFF00"/>
        </patternFill>
      </fill>
    </dxf>
    <dxf>
      <font>
        <color theme="0" tint="-0.14996795556505021"/>
      </font>
      <numFmt numFmtId="166" formatCode=";;;"/>
      <fill>
        <patternFill>
          <bgColor theme="0" tint="-0.14996795556505021"/>
        </patternFill>
      </fill>
      <border>
        <right/>
        <vertical/>
        <horizontal/>
      </border>
    </dxf>
    <dxf>
      <font>
        <color theme="5"/>
      </font>
    </dxf>
    <dxf>
      <font>
        <color rgb="FFFF000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xdr:colOff>
          <xdr:row>85</xdr:row>
          <xdr:rowOff>9525</xdr:rowOff>
        </xdr:from>
        <xdr:to>
          <xdr:col>19</xdr:col>
          <xdr:colOff>361950</xdr:colOff>
          <xdr:row>85</xdr:row>
          <xdr:rowOff>190500</xdr:rowOff>
        </xdr:to>
        <xdr:sp macro="" textlink="">
          <xdr:nvSpPr>
            <xdr:cNvPr id="2139" name="Button 91" hidden="1">
              <a:extLst>
                <a:ext uri="{63B3BB69-23CF-44E3-9099-C40C66FF867C}">
                  <a14:compatExt spid="_x0000_s2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SNCOIC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87</xdr:row>
          <xdr:rowOff>9525</xdr:rowOff>
        </xdr:from>
        <xdr:to>
          <xdr:col>19</xdr:col>
          <xdr:colOff>361950</xdr:colOff>
          <xdr:row>87</xdr:row>
          <xdr:rowOff>190500</xdr:rowOff>
        </xdr:to>
        <xdr:sp macro="" textlink="">
          <xdr:nvSpPr>
            <xdr:cNvPr id="2140" name="Button 92" hidden="1">
              <a:extLst>
                <a:ext uri="{63B3BB69-23CF-44E3-9099-C40C66FF867C}">
                  <a14:compatExt spid="_x0000_s2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89</xdr:row>
          <xdr:rowOff>9525</xdr:rowOff>
        </xdr:from>
        <xdr:to>
          <xdr:col>19</xdr:col>
          <xdr:colOff>361950</xdr:colOff>
          <xdr:row>89</xdr:row>
          <xdr:rowOff>190500</xdr:rowOff>
        </xdr:to>
        <xdr:sp macro="" textlink="">
          <xdr:nvSpPr>
            <xdr:cNvPr id="2142" name="Button 94" hidden="1">
              <a:extLst>
                <a:ext uri="{63B3BB69-23CF-44E3-9099-C40C66FF867C}">
                  <a14:compatExt spid="_x0000_s2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1stSgt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91</xdr:row>
          <xdr:rowOff>9525</xdr:rowOff>
        </xdr:from>
        <xdr:to>
          <xdr:col>19</xdr:col>
          <xdr:colOff>361950</xdr:colOff>
          <xdr:row>91</xdr:row>
          <xdr:rowOff>190500</xdr:rowOff>
        </xdr:to>
        <xdr:sp macro="" textlink="">
          <xdr:nvSpPr>
            <xdr:cNvPr id="2143" name="Button 95" hidden="1">
              <a:extLst>
                <a:ext uri="{63B3BB69-23CF-44E3-9099-C40C66FF867C}">
                  <a14:compatExt spid="_x0000_s2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94</xdr:row>
          <xdr:rowOff>9525</xdr:rowOff>
        </xdr:from>
        <xdr:to>
          <xdr:col>19</xdr:col>
          <xdr:colOff>361950</xdr:colOff>
          <xdr:row>94</xdr:row>
          <xdr:rowOff>190500</xdr:rowOff>
        </xdr:to>
        <xdr:sp macro="" textlink="">
          <xdr:nvSpPr>
            <xdr:cNvPr id="2145" name="Button 97" hidden="1">
              <a:extLst>
                <a:ext uri="{63B3BB69-23CF-44E3-9099-C40C66FF867C}">
                  <a14:compatExt spid="_x0000_s2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200025</xdr:colOff>
          <xdr:row>0</xdr:row>
          <xdr:rowOff>28575</xdr:rowOff>
        </xdr:from>
        <xdr:to>
          <xdr:col>19</xdr:col>
          <xdr:colOff>161925</xdr:colOff>
          <xdr:row>1</xdr:row>
          <xdr:rowOff>114300</xdr:rowOff>
        </xdr:to>
        <xdr:sp macro="" textlink="">
          <xdr:nvSpPr>
            <xdr:cNvPr id="2151" name="Button 103" hidden="1">
              <a:extLst>
                <a:ext uri="{63B3BB69-23CF-44E3-9099-C40C66FF867C}">
                  <a14:compatExt spid="_x0000_s2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HARP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78574</xdr:colOff>
          <xdr:row>57</xdr:row>
          <xdr:rowOff>0</xdr:rowOff>
        </xdr:from>
        <xdr:to>
          <xdr:col>5</xdr:col>
          <xdr:colOff>300013</xdr:colOff>
          <xdr:row>62</xdr:row>
          <xdr:rowOff>161941</xdr:rowOff>
        </xdr:to>
        <xdr:grpSp>
          <xdr:nvGrpSpPr>
            <xdr:cNvPr id="8" name="Group 7"/>
            <xdr:cNvGrpSpPr/>
          </xdr:nvGrpSpPr>
          <xdr:grpSpPr>
            <a:xfrm>
              <a:off x="1602574" y="9591675"/>
              <a:ext cx="602439" cy="971566"/>
              <a:chOff x="1602574" y="9391650"/>
              <a:chExt cx="602439" cy="971566"/>
            </a:xfrm>
          </xdr:grpSpPr>
          <xdr:sp macro="" textlink="">
            <xdr:nvSpPr>
              <xdr:cNvPr id="2154" name="Check Box 106" hidden="1">
                <a:extLst>
                  <a:ext uri="{63B3BB69-23CF-44E3-9099-C40C66FF867C}">
                    <a14:compatExt spid="_x0000_s2154"/>
                  </a:ext>
                </a:extLst>
              </xdr:cNvPr>
              <xdr:cNvSpPr/>
            </xdr:nvSpPr>
            <xdr:spPr bwMode="auto">
              <a:xfrm>
                <a:off x="1602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55" name="Check Box 107" hidden="1">
                <a:extLst>
                  <a:ext uri="{63B3BB69-23CF-44E3-9099-C40C66FF867C}">
                    <a14:compatExt spid="_x0000_s2155"/>
                  </a:ext>
                </a:extLst>
              </xdr:cNvPr>
              <xdr:cNvSpPr/>
            </xdr:nvSpPr>
            <xdr:spPr bwMode="auto">
              <a:xfrm>
                <a:off x="1985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2" name="Check Box 164" hidden="1">
                <a:extLst>
                  <a:ext uri="{63B3BB69-23CF-44E3-9099-C40C66FF867C}">
                    <a14:compatExt spid="_x0000_s2212"/>
                  </a:ext>
                </a:extLst>
              </xdr:cNvPr>
              <xdr:cNvSpPr/>
            </xdr:nvSpPr>
            <xdr:spPr bwMode="auto">
              <a:xfrm>
                <a:off x="1602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3" name="Check Box 165" hidden="1">
                <a:extLst>
                  <a:ext uri="{63B3BB69-23CF-44E3-9099-C40C66FF867C}">
                    <a14:compatExt spid="_x0000_s2213"/>
                  </a:ext>
                </a:extLst>
              </xdr:cNvPr>
              <xdr:cNvSpPr/>
            </xdr:nvSpPr>
            <xdr:spPr bwMode="auto">
              <a:xfrm>
                <a:off x="1985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4" name="Check Box 166" hidden="1">
                <a:extLst>
                  <a:ext uri="{63B3BB69-23CF-44E3-9099-C40C66FF867C}">
                    <a14:compatExt spid="_x0000_s2214"/>
                  </a:ext>
                </a:extLst>
              </xdr:cNvPr>
              <xdr:cNvSpPr/>
            </xdr:nvSpPr>
            <xdr:spPr bwMode="auto">
              <a:xfrm>
                <a:off x="1602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5" name="Check Box 167" hidden="1">
                <a:extLst>
                  <a:ext uri="{63B3BB69-23CF-44E3-9099-C40C66FF867C}">
                    <a14:compatExt spid="_x0000_s2215"/>
                  </a:ext>
                </a:extLst>
              </xdr:cNvPr>
              <xdr:cNvSpPr/>
            </xdr:nvSpPr>
            <xdr:spPr bwMode="auto">
              <a:xfrm>
                <a:off x="1985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6" name="Check Box 168" hidden="1">
                <a:extLst>
                  <a:ext uri="{63B3BB69-23CF-44E3-9099-C40C66FF867C}">
                    <a14:compatExt spid="_x0000_s2216"/>
                  </a:ext>
                </a:extLst>
              </xdr:cNvPr>
              <xdr:cNvSpPr/>
            </xdr:nvSpPr>
            <xdr:spPr bwMode="auto">
              <a:xfrm>
                <a:off x="1602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7" name="Check Box 169" hidden="1">
                <a:extLst>
                  <a:ext uri="{63B3BB69-23CF-44E3-9099-C40C66FF867C}">
                    <a14:compatExt spid="_x0000_s2217"/>
                  </a:ext>
                </a:extLst>
              </xdr:cNvPr>
              <xdr:cNvSpPr/>
            </xdr:nvSpPr>
            <xdr:spPr bwMode="auto">
              <a:xfrm>
                <a:off x="1985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8" name="Check Box 170" hidden="1">
                <a:extLst>
                  <a:ext uri="{63B3BB69-23CF-44E3-9099-C40C66FF867C}">
                    <a14:compatExt spid="_x0000_s2218"/>
                  </a:ext>
                </a:extLst>
              </xdr:cNvPr>
              <xdr:cNvSpPr/>
            </xdr:nvSpPr>
            <xdr:spPr bwMode="auto">
              <a:xfrm>
                <a:off x="1602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9" name="Check Box 171" hidden="1">
                <a:extLst>
                  <a:ext uri="{63B3BB69-23CF-44E3-9099-C40C66FF867C}">
                    <a14:compatExt spid="_x0000_s2219"/>
                  </a:ext>
                </a:extLst>
              </xdr:cNvPr>
              <xdr:cNvSpPr/>
            </xdr:nvSpPr>
            <xdr:spPr bwMode="auto">
              <a:xfrm>
                <a:off x="1985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0" name="Check Box 172" hidden="1">
                <a:extLst>
                  <a:ext uri="{63B3BB69-23CF-44E3-9099-C40C66FF867C}">
                    <a14:compatExt spid="_x0000_s2220"/>
                  </a:ext>
                </a:extLst>
              </xdr:cNvPr>
              <xdr:cNvSpPr/>
            </xdr:nvSpPr>
            <xdr:spPr bwMode="auto">
              <a:xfrm>
                <a:off x="1602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1" name="Check Box 173" hidden="1">
                <a:extLst>
                  <a:ext uri="{63B3BB69-23CF-44E3-9099-C40C66FF867C}">
                    <a14:compatExt spid="_x0000_s2221"/>
                  </a:ext>
                </a:extLst>
              </xdr:cNvPr>
              <xdr:cNvSpPr/>
            </xdr:nvSpPr>
            <xdr:spPr bwMode="auto">
              <a:xfrm>
                <a:off x="1985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57</xdr:row>
          <xdr:rowOff>0</xdr:rowOff>
        </xdr:from>
        <xdr:to>
          <xdr:col>12</xdr:col>
          <xdr:colOff>300013</xdr:colOff>
          <xdr:row>62</xdr:row>
          <xdr:rowOff>161941</xdr:rowOff>
        </xdr:to>
        <xdr:grpSp>
          <xdr:nvGrpSpPr>
            <xdr:cNvPr id="3" name="Group 2"/>
            <xdr:cNvGrpSpPr/>
          </xdr:nvGrpSpPr>
          <xdr:grpSpPr>
            <a:xfrm>
              <a:off x="4269574" y="9591675"/>
              <a:ext cx="602439" cy="971566"/>
              <a:chOff x="4269574" y="9391650"/>
              <a:chExt cx="602439" cy="971566"/>
            </a:xfrm>
          </xdr:grpSpPr>
          <xdr:sp macro="" textlink="">
            <xdr:nvSpPr>
              <xdr:cNvPr id="2222" name="Check Box 174" hidden="1">
                <a:extLst>
                  <a:ext uri="{63B3BB69-23CF-44E3-9099-C40C66FF867C}">
                    <a14:compatExt spid="_x0000_s2222"/>
                  </a:ext>
                </a:extLst>
              </xdr:cNvPr>
              <xdr:cNvSpPr/>
            </xdr:nvSpPr>
            <xdr:spPr bwMode="auto">
              <a:xfrm>
                <a:off x="4269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3" name="Check Box 175" hidden="1">
                <a:extLst>
                  <a:ext uri="{63B3BB69-23CF-44E3-9099-C40C66FF867C}">
                    <a14:compatExt spid="_x0000_s2223"/>
                  </a:ext>
                </a:extLst>
              </xdr:cNvPr>
              <xdr:cNvSpPr/>
            </xdr:nvSpPr>
            <xdr:spPr bwMode="auto">
              <a:xfrm>
                <a:off x="4652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4" name="Check Box 176" hidden="1">
                <a:extLst>
                  <a:ext uri="{63B3BB69-23CF-44E3-9099-C40C66FF867C}">
                    <a14:compatExt spid="_x0000_s2224"/>
                  </a:ext>
                </a:extLst>
              </xdr:cNvPr>
              <xdr:cNvSpPr/>
            </xdr:nvSpPr>
            <xdr:spPr bwMode="auto">
              <a:xfrm>
                <a:off x="4269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5" name="Check Box 177" hidden="1">
                <a:extLst>
                  <a:ext uri="{63B3BB69-23CF-44E3-9099-C40C66FF867C}">
                    <a14:compatExt spid="_x0000_s2225"/>
                  </a:ext>
                </a:extLst>
              </xdr:cNvPr>
              <xdr:cNvSpPr/>
            </xdr:nvSpPr>
            <xdr:spPr bwMode="auto">
              <a:xfrm>
                <a:off x="4652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6" name="Check Box 178" hidden="1">
                <a:extLst>
                  <a:ext uri="{63B3BB69-23CF-44E3-9099-C40C66FF867C}">
                    <a14:compatExt spid="_x0000_s2226"/>
                  </a:ext>
                </a:extLst>
              </xdr:cNvPr>
              <xdr:cNvSpPr/>
            </xdr:nvSpPr>
            <xdr:spPr bwMode="auto">
              <a:xfrm>
                <a:off x="4269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7" name="Check Box 179" hidden="1">
                <a:extLst>
                  <a:ext uri="{63B3BB69-23CF-44E3-9099-C40C66FF867C}">
                    <a14:compatExt spid="_x0000_s2227"/>
                  </a:ext>
                </a:extLst>
              </xdr:cNvPr>
              <xdr:cNvSpPr/>
            </xdr:nvSpPr>
            <xdr:spPr bwMode="auto">
              <a:xfrm>
                <a:off x="4652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8" name="Check Box 180" hidden="1">
                <a:extLst>
                  <a:ext uri="{63B3BB69-23CF-44E3-9099-C40C66FF867C}">
                    <a14:compatExt spid="_x0000_s2228"/>
                  </a:ext>
                </a:extLst>
              </xdr:cNvPr>
              <xdr:cNvSpPr/>
            </xdr:nvSpPr>
            <xdr:spPr bwMode="auto">
              <a:xfrm>
                <a:off x="4269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9" name="Check Box 181" hidden="1">
                <a:extLst>
                  <a:ext uri="{63B3BB69-23CF-44E3-9099-C40C66FF867C}">
                    <a14:compatExt spid="_x0000_s2229"/>
                  </a:ext>
                </a:extLst>
              </xdr:cNvPr>
              <xdr:cNvSpPr/>
            </xdr:nvSpPr>
            <xdr:spPr bwMode="auto">
              <a:xfrm>
                <a:off x="4652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0" name="Check Box 182" hidden="1">
                <a:extLst>
                  <a:ext uri="{63B3BB69-23CF-44E3-9099-C40C66FF867C}">
                    <a14:compatExt spid="_x0000_s2230"/>
                  </a:ext>
                </a:extLst>
              </xdr:cNvPr>
              <xdr:cNvSpPr/>
            </xdr:nvSpPr>
            <xdr:spPr bwMode="auto">
              <a:xfrm>
                <a:off x="4269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1" name="Check Box 183" hidden="1">
                <a:extLst>
                  <a:ext uri="{63B3BB69-23CF-44E3-9099-C40C66FF867C}">
                    <a14:compatExt spid="_x0000_s2231"/>
                  </a:ext>
                </a:extLst>
              </xdr:cNvPr>
              <xdr:cNvSpPr/>
            </xdr:nvSpPr>
            <xdr:spPr bwMode="auto">
              <a:xfrm>
                <a:off x="4652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2" name="Check Box 184" hidden="1">
                <a:extLst>
                  <a:ext uri="{63B3BB69-23CF-44E3-9099-C40C66FF867C}">
                    <a14:compatExt spid="_x0000_s2232"/>
                  </a:ext>
                </a:extLst>
              </xdr:cNvPr>
              <xdr:cNvSpPr/>
            </xdr:nvSpPr>
            <xdr:spPr bwMode="auto">
              <a:xfrm>
                <a:off x="4269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3" name="Check Box 185" hidden="1">
                <a:extLst>
                  <a:ext uri="{63B3BB69-23CF-44E3-9099-C40C66FF867C}">
                    <a14:compatExt spid="_x0000_s2233"/>
                  </a:ext>
                </a:extLst>
              </xdr:cNvPr>
              <xdr:cNvSpPr/>
            </xdr:nvSpPr>
            <xdr:spPr bwMode="auto">
              <a:xfrm>
                <a:off x="4652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57</xdr:row>
          <xdr:rowOff>0</xdr:rowOff>
        </xdr:from>
        <xdr:to>
          <xdr:col>19</xdr:col>
          <xdr:colOff>300013</xdr:colOff>
          <xdr:row>62</xdr:row>
          <xdr:rowOff>161941</xdr:rowOff>
        </xdr:to>
        <xdr:grpSp>
          <xdr:nvGrpSpPr>
            <xdr:cNvPr id="2" name="Group 1"/>
            <xdr:cNvGrpSpPr/>
          </xdr:nvGrpSpPr>
          <xdr:grpSpPr>
            <a:xfrm>
              <a:off x="6936574" y="9591675"/>
              <a:ext cx="602439" cy="971566"/>
              <a:chOff x="6936574" y="9391650"/>
              <a:chExt cx="602439" cy="971566"/>
            </a:xfrm>
          </xdr:grpSpPr>
          <xdr:sp macro="" textlink="">
            <xdr:nvSpPr>
              <xdr:cNvPr id="2234" name="Check Box 186" hidden="1">
                <a:extLst>
                  <a:ext uri="{63B3BB69-23CF-44E3-9099-C40C66FF867C}">
                    <a14:compatExt spid="_x0000_s2234"/>
                  </a:ext>
                </a:extLst>
              </xdr:cNvPr>
              <xdr:cNvSpPr/>
            </xdr:nvSpPr>
            <xdr:spPr bwMode="auto">
              <a:xfrm>
                <a:off x="6936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5" name="Check Box 187" hidden="1">
                <a:extLst>
                  <a:ext uri="{63B3BB69-23CF-44E3-9099-C40C66FF867C}">
                    <a14:compatExt spid="_x0000_s2235"/>
                  </a:ext>
                </a:extLst>
              </xdr:cNvPr>
              <xdr:cNvSpPr/>
            </xdr:nvSpPr>
            <xdr:spPr bwMode="auto">
              <a:xfrm>
                <a:off x="7319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6" name="Check Box 188" hidden="1">
                <a:extLst>
                  <a:ext uri="{63B3BB69-23CF-44E3-9099-C40C66FF867C}">
                    <a14:compatExt spid="_x0000_s2236"/>
                  </a:ext>
                </a:extLst>
              </xdr:cNvPr>
              <xdr:cNvSpPr/>
            </xdr:nvSpPr>
            <xdr:spPr bwMode="auto">
              <a:xfrm>
                <a:off x="6936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7" name="Check Box 189" hidden="1">
                <a:extLst>
                  <a:ext uri="{63B3BB69-23CF-44E3-9099-C40C66FF867C}">
                    <a14:compatExt spid="_x0000_s2237"/>
                  </a:ext>
                </a:extLst>
              </xdr:cNvPr>
              <xdr:cNvSpPr/>
            </xdr:nvSpPr>
            <xdr:spPr bwMode="auto">
              <a:xfrm>
                <a:off x="7319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8" name="Check Box 190" hidden="1">
                <a:extLst>
                  <a:ext uri="{63B3BB69-23CF-44E3-9099-C40C66FF867C}">
                    <a14:compatExt spid="_x0000_s2238"/>
                  </a:ext>
                </a:extLst>
              </xdr:cNvPr>
              <xdr:cNvSpPr/>
            </xdr:nvSpPr>
            <xdr:spPr bwMode="auto">
              <a:xfrm>
                <a:off x="6936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9" name="Check Box 191" hidden="1">
                <a:extLst>
                  <a:ext uri="{63B3BB69-23CF-44E3-9099-C40C66FF867C}">
                    <a14:compatExt spid="_x0000_s2239"/>
                  </a:ext>
                </a:extLst>
              </xdr:cNvPr>
              <xdr:cNvSpPr/>
            </xdr:nvSpPr>
            <xdr:spPr bwMode="auto">
              <a:xfrm>
                <a:off x="7319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0" name="Check Box 192" hidden="1">
                <a:extLst>
                  <a:ext uri="{63B3BB69-23CF-44E3-9099-C40C66FF867C}">
                    <a14:compatExt spid="_x0000_s2240"/>
                  </a:ext>
                </a:extLst>
              </xdr:cNvPr>
              <xdr:cNvSpPr/>
            </xdr:nvSpPr>
            <xdr:spPr bwMode="auto">
              <a:xfrm>
                <a:off x="6936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1" name="Check Box 193" hidden="1">
                <a:extLst>
                  <a:ext uri="{63B3BB69-23CF-44E3-9099-C40C66FF867C}">
                    <a14:compatExt spid="_x0000_s2241"/>
                  </a:ext>
                </a:extLst>
              </xdr:cNvPr>
              <xdr:cNvSpPr/>
            </xdr:nvSpPr>
            <xdr:spPr bwMode="auto">
              <a:xfrm>
                <a:off x="7319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2" name="Check Box 194" hidden="1">
                <a:extLst>
                  <a:ext uri="{63B3BB69-23CF-44E3-9099-C40C66FF867C}">
                    <a14:compatExt spid="_x0000_s2242"/>
                  </a:ext>
                </a:extLst>
              </xdr:cNvPr>
              <xdr:cNvSpPr/>
            </xdr:nvSpPr>
            <xdr:spPr bwMode="auto">
              <a:xfrm>
                <a:off x="6936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3" name="Check Box 195" hidden="1">
                <a:extLst>
                  <a:ext uri="{63B3BB69-23CF-44E3-9099-C40C66FF867C}">
                    <a14:compatExt spid="_x0000_s2243"/>
                  </a:ext>
                </a:extLst>
              </xdr:cNvPr>
              <xdr:cNvSpPr/>
            </xdr:nvSpPr>
            <xdr:spPr bwMode="auto">
              <a:xfrm>
                <a:off x="7319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4" name="Check Box 196" hidden="1">
                <a:extLst>
                  <a:ext uri="{63B3BB69-23CF-44E3-9099-C40C66FF867C}">
                    <a14:compatExt spid="_x0000_s2244"/>
                  </a:ext>
                </a:extLst>
              </xdr:cNvPr>
              <xdr:cNvSpPr/>
            </xdr:nvSpPr>
            <xdr:spPr bwMode="auto">
              <a:xfrm>
                <a:off x="6936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5" name="Check Box 197" hidden="1">
                <a:extLst>
                  <a:ext uri="{63B3BB69-23CF-44E3-9099-C40C66FF867C}">
                    <a14:compatExt spid="_x0000_s2245"/>
                  </a:ext>
                </a:extLst>
              </xdr:cNvPr>
              <xdr:cNvSpPr/>
            </xdr:nvSpPr>
            <xdr:spPr bwMode="auto">
              <a:xfrm>
                <a:off x="7319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78574</xdr:colOff>
          <xdr:row>72</xdr:row>
          <xdr:rowOff>0</xdr:rowOff>
        </xdr:from>
        <xdr:to>
          <xdr:col>5</xdr:col>
          <xdr:colOff>300013</xdr:colOff>
          <xdr:row>75</xdr:row>
          <xdr:rowOff>161941</xdr:rowOff>
        </xdr:to>
        <xdr:grpSp>
          <xdr:nvGrpSpPr>
            <xdr:cNvPr id="5" name="Group 4"/>
            <xdr:cNvGrpSpPr/>
          </xdr:nvGrpSpPr>
          <xdr:grpSpPr>
            <a:xfrm>
              <a:off x="1602574" y="12096750"/>
              <a:ext cx="602439" cy="657241"/>
              <a:chOff x="1602574" y="11896725"/>
              <a:chExt cx="602439" cy="657241"/>
            </a:xfrm>
          </xdr:grpSpPr>
          <xdr:sp macro="" textlink="">
            <xdr:nvSpPr>
              <xdr:cNvPr id="2246" name="Check Box 198" hidden="1">
                <a:extLst>
                  <a:ext uri="{63B3BB69-23CF-44E3-9099-C40C66FF867C}">
                    <a14:compatExt spid="_x0000_s2246"/>
                  </a:ext>
                </a:extLst>
              </xdr:cNvPr>
              <xdr:cNvSpPr/>
            </xdr:nvSpPr>
            <xdr:spPr bwMode="auto">
              <a:xfrm>
                <a:off x="1602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7" name="Check Box 199" hidden="1">
                <a:extLst>
                  <a:ext uri="{63B3BB69-23CF-44E3-9099-C40C66FF867C}">
                    <a14:compatExt spid="_x0000_s2247"/>
                  </a:ext>
                </a:extLst>
              </xdr:cNvPr>
              <xdr:cNvSpPr/>
            </xdr:nvSpPr>
            <xdr:spPr bwMode="auto">
              <a:xfrm>
                <a:off x="1985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8" name="Check Box 200" hidden="1">
                <a:extLst>
                  <a:ext uri="{63B3BB69-23CF-44E3-9099-C40C66FF867C}">
                    <a14:compatExt spid="_x0000_s2248"/>
                  </a:ext>
                </a:extLst>
              </xdr:cNvPr>
              <xdr:cNvSpPr/>
            </xdr:nvSpPr>
            <xdr:spPr bwMode="auto">
              <a:xfrm>
                <a:off x="1602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9" name="Check Box 201" hidden="1">
                <a:extLst>
                  <a:ext uri="{63B3BB69-23CF-44E3-9099-C40C66FF867C}">
                    <a14:compatExt spid="_x0000_s2249"/>
                  </a:ext>
                </a:extLst>
              </xdr:cNvPr>
              <xdr:cNvSpPr/>
            </xdr:nvSpPr>
            <xdr:spPr bwMode="auto">
              <a:xfrm>
                <a:off x="1985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0" name="Check Box 202" hidden="1">
                <a:extLst>
                  <a:ext uri="{63B3BB69-23CF-44E3-9099-C40C66FF867C}">
                    <a14:compatExt spid="_x0000_s2250"/>
                  </a:ext>
                </a:extLst>
              </xdr:cNvPr>
              <xdr:cNvSpPr/>
            </xdr:nvSpPr>
            <xdr:spPr bwMode="auto">
              <a:xfrm>
                <a:off x="1602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1" name="Check Box 203" hidden="1">
                <a:extLst>
                  <a:ext uri="{63B3BB69-23CF-44E3-9099-C40C66FF867C}">
                    <a14:compatExt spid="_x0000_s2251"/>
                  </a:ext>
                </a:extLst>
              </xdr:cNvPr>
              <xdr:cNvSpPr/>
            </xdr:nvSpPr>
            <xdr:spPr bwMode="auto">
              <a:xfrm>
                <a:off x="1985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2" name="Check Box 204" hidden="1">
                <a:extLst>
                  <a:ext uri="{63B3BB69-23CF-44E3-9099-C40C66FF867C}">
                    <a14:compatExt spid="_x0000_s2252"/>
                  </a:ext>
                </a:extLst>
              </xdr:cNvPr>
              <xdr:cNvSpPr/>
            </xdr:nvSpPr>
            <xdr:spPr bwMode="auto">
              <a:xfrm>
                <a:off x="1602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3" name="Check Box 205" hidden="1">
                <a:extLst>
                  <a:ext uri="{63B3BB69-23CF-44E3-9099-C40C66FF867C}">
                    <a14:compatExt spid="_x0000_s2253"/>
                  </a:ext>
                </a:extLst>
              </xdr:cNvPr>
              <xdr:cNvSpPr/>
            </xdr:nvSpPr>
            <xdr:spPr bwMode="auto">
              <a:xfrm>
                <a:off x="1985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72</xdr:row>
          <xdr:rowOff>0</xdr:rowOff>
        </xdr:from>
        <xdr:to>
          <xdr:col>12</xdr:col>
          <xdr:colOff>300013</xdr:colOff>
          <xdr:row>75</xdr:row>
          <xdr:rowOff>161941</xdr:rowOff>
        </xdr:to>
        <xdr:grpSp>
          <xdr:nvGrpSpPr>
            <xdr:cNvPr id="6" name="Group 5"/>
            <xdr:cNvGrpSpPr/>
          </xdr:nvGrpSpPr>
          <xdr:grpSpPr>
            <a:xfrm>
              <a:off x="4269574" y="12096750"/>
              <a:ext cx="602439" cy="657241"/>
              <a:chOff x="4269574" y="11896725"/>
              <a:chExt cx="602439" cy="657241"/>
            </a:xfrm>
          </xdr:grpSpPr>
          <xdr:sp macro="" textlink="">
            <xdr:nvSpPr>
              <xdr:cNvPr id="2254" name="Check Box 206" hidden="1">
                <a:extLst>
                  <a:ext uri="{63B3BB69-23CF-44E3-9099-C40C66FF867C}">
                    <a14:compatExt spid="_x0000_s2254"/>
                  </a:ext>
                </a:extLst>
              </xdr:cNvPr>
              <xdr:cNvSpPr/>
            </xdr:nvSpPr>
            <xdr:spPr bwMode="auto">
              <a:xfrm>
                <a:off x="4269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5" name="Check Box 207" hidden="1">
                <a:extLst>
                  <a:ext uri="{63B3BB69-23CF-44E3-9099-C40C66FF867C}">
                    <a14:compatExt spid="_x0000_s2255"/>
                  </a:ext>
                </a:extLst>
              </xdr:cNvPr>
              <xdr:cNvSpPr/>
            </xdr:nvSpPr>
            <xdr:spPr bwMode="auto">
              <a:xfrm>
                <a:off x="4652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6" name="Check Box 208" hidden="1">
                <a:extLst>
                  <a:ext uri="{63B3BB69-23CF-44E3-9099-C40C66FF867C}">
                    <a14:compatExt spid="_x0000_s2256"/>
                  </a:ext>
                </a:extLst>
              </xdr:cNvPr>
              <xdr:cNvSpPr/>
            </xdr:nvSpPr>
            <xdr:spPr bwMode="auto">
              <a:xfrm>
                <a:off x="4269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7" name="Check Box 209" hidden="1">
                <a:extLst>
                  <a:ext uri="{63B3BB69-23CF-44E3-9099-C40C66FF867C}">
                    <a14:compatExt spid="_x0000_s2257"/>
                  </a:ext>
                </a:extLst>
              </xdr:cNvPr>
              <xdr:cNvSpPr/>
            </xdr:nvSpPr>
            <xdr:spPr bwMode="auto">
              <a:xfrm>
                <a:off x="4652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8" name="Check Box 210" hidden="1">
                <a:extLst>
                  <a:ext uri="{63B3BB69-23CF-44E3-9099-C40C66FF867C}">
                    <a14:compatExt spid="_x0000_s2258"/>
                  </a:ext>
                </a:extLst>
              </xdr:cNvPr>
              <xdr:cNvSpPr/>
            </xdr:nvSpPr>
            <xdr:spPr bwMode="auto">
              <a:xfrm>
                <a:off x="4269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9" name="Check Box 211" hidden="1">
                <a:extLst>
                  <a:ext uri="{63B3BB69-23CF-44E3-9099-C40C66FF867C}">
                    <a14:compatExt spid="_x0000_s2259"/>
                  </a:ext>
                </a:extLst>
              </xdr:cNvPr>
              <xdr:cNvSpPr/>
            </xdr:nvSpPr>
            <xdr:spPr bwMode="auto">
              <a:xfrm>
                <a:off x="4652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0" name="Check Box 212" hidden="1">
                <a:extLst>
                  <a:ext uri="{63B3BB69-23CF-44E3-9099-C40C66FF867C}">
                    <a14:compatExt spid="_x0000_s2260"/>
                  </a:ext>
                </a:extLst>
              </xdr:cNvPr>
              <xdr:cNvSpPr/>
            </xdr:nvSpPr>
            <xdr:spPr bwMode="auto">
              <a:xfrm>
                <a:off x="4269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1" name="Check Box 213" hidden="1">
                <a:extLst>
                  <a:ext uri="{63B3BB69-23CF-44E3-9099-C40C66FF867C}">
                    <a14:compatExt spid="_x0000_s2261"/>
                  </a:ext>
                </a:extLst>
              </xdr:cNvPr>
              <xdr:cNvSpPr/>
            </xdr:nvSpPr>
            <xdr:spPr bwMode="auto">
              <a:xfrm>
                <a:off x="4652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72</xdr:row>
          <xdr:rowOff>0</xdr:rowOff>
        </xdr:from>
        <xdr:to>
          <xdr:col>19</xdr:col>
          <xdr:colOff>300013</xdr:colOff>
          <xdr:row>74</xdr:row>
          <xdr:rowOff>161941</xdr:rowOff>
        </xdr:to>
        <xdr:grpSp>
          <xdr:nvGrpSpPr>
            <xdr:cNvPr id="7" name="Group 6"/>
            <xdr:cNvGrpSpPr/>
          </xdr:nvGrpSpPr>
          <xdr:grpSpPr>
            <a:xfrm>
              <a:off x="6936574" y="12096750"/>
              <a:ext cx="602439" cy="485791"/>
              <a:chOff x="6936574" y="11896725"/>
              <a:chExt cx="602439" cy="485791"/>
            </a:xfrm>
          </xdr:grpSpPr>
          <xdr:sp macro="" textlink="">
            <xdr:nvSpPr>
              <xdr:cNvPr id="2262" name="Check Box 214" hidden="1">
                <a:extLst>
                  <a:ext uri="{63B3BB69-23CF-44E3-9099-C40C66FF867C}">
                    <a14:compatExt spid="_x0000_s2262"/>
                  </a:ext>
                </a:extLst>
              </xdr:cNvPr>
              <xdr:cNvSpPr/>
            </xdr:nvSpPr>
            <xdr:spPr bwMode="auto">
              <a:xfrm>
                <a:off x="6936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3" name="Check Box 215" hidden="1">
                <a:extLst>
                  <a:ext uri="{63B3BB69-23CF-44E3-9099-C40C66FF867C}">
                    <a14:compatExt spid="_x0000_s2263"/>
                  </a:ext>
                </a:extLst>
              </xdr:cNvPr>
              <xdr:cNvSpPr/>
            </xdr:nvSpPr>
            <xdr:spPr bwMode="auto">
              <a:xfrm>
                <a:off x="7319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4" name="Check Box 216" hidden="1">
                <a:extLst>
                  <a:ext uri="{63B3BB69-23CF-44E3-9099-C40C66FF867C}">
                    <a14:compatExt spid="_x0000_s2264"/>
                  </a:ext>
                </a:extLst>
              </xdr:cNvPr>
              <xdr:cNvSpPr/>
            </xdr:nvSpPr>
            <xdr:spPr bwMode="auto">
              <a:xfrm>
                <a:off x="6936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5" name="Check Box 217" hidden="1">
                <a:extLst>
                  <a:ext uri="{63B3BB69-23CF-44E3-9099-C40C66FF867C}">
                    <a14:compatExt spid="_x0000_s2265"/>
                  </a:ext>
                </a:extLst>
              </xdr:cNvPr>
              <xdr:cNvSpPr/>
            </xdr:nvSpPr>
            <xdr:spPr bwMode="auto">
              <a:xfrm>
                <a:off x="7319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6" name="Check Box 218" hidden="1">
                <a:extLst>
                  <a:ext uri="{63B3BB69-23CF-44E3-9099-C40C66FF867C}">
                    <a14:compatExt spid="_x0000_s2266"/>
                  </a:ext>
                </a:extLst>
              </xdr:cNvPr>
              <xdr:cNvSpPr/>
            </xdr:nvSpPr>
            <xdr:spPr bwMode="auto">
              <a:xfrm>
                <a:off x="6936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7" name="Check Box 219" hidden="1">
                <a:extLst>
                  <a:ext uri="{63B3BB69-23CF-44E3-9099-C40C66FF867C}">
                    <a14:compatExt spid="_x0000_s2267"/>
                  </a:ext>
                </a:extLst>
              </xdr:cNvPr>
              <xdr:cNvSpPr/>
            </xdr:nvSpPr>
            <xdr:spPr bwMode="auto">
              <a:xfrm>
                <a:off x="7319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13</xdr:row>
          <xdr:rowOff>9525</xdr:rowOff>
        </xdr:from>
        <xdr:to>
          <xdr:col>0</xdr:col>
          <xdr:colOff>361950</xdr:colOff>
          <xdr:row>13</xdr:row>
          <xdr:rowOff>161925</xdr:rowOff>
        </xdr:to>
        <xdr:sp macro="" textlink="">
          <xdr:nvSpPr>
            <xdr:cNvPr id="2268" name="Check Box 14" hidden="1">
              <a:extLst>
                <a:ext uri="{63B3BB69-23CF-44E3-9099-C40C66FF867C}">
                  <a14:compatExt spid="_x0000_s2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9525</xdr:rowOff>
        </xdr:from>
        <xdr:to>
          <xdr:col>0</xdr:col>
          <xdr:colOff>361950</xdr:colOff>
          <xdr:row>14</xdr:row>
          <xdr:rowOff>161925</xdr:rowOff>
        </xdr:to>
        <xdr:sp macro="" textlink="">
          <xdr:nvSpPr>
            <xdr:cNvPr id="2279" name="Check Box 15" hidden="1">
              <a:extLst>
                <a:ext uri="{63B3BB69-23CF-44E3-9099-C40C66FF867C}">
                  <a14:compatExt spid="_x0000_s2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15</xdr:row>
          <xdr:rowOff>9525</xdr:rowOff>
        </xdr:from>
        <xdr:to>
          <xdr:col>0</xdr:col>
          <xdr:colOff>361950</xdr:colOff>
          <xdr:row>15</xdr:row>
          <xdr:rowOff>161925</xdr:rowOff>
        </xdr:to>
        <xdr:sp macro="" textlink="">
          <xdr:nvSpPr>
            <xdr:cNvPr id="2280" name="Check Box 16" hidden="1">
              <a:extLst>
                <a:ext uri="{63B3BB69-23CF-44E3-9099-C40C66FF867C}">
                  <a14:compatExt spid="_x0000_s2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16</xdr:row>
          <xdr:rowOff>9525</xdr:rowOff>
        </xdr:from>
        <xdr:to>
          <xdr:col>0</xdr:col>
          <xdr:colOff>361950</xdr:colOff>
          <xdr:row>16</xdr:row>
          <xdr:rowOff>161925</xdr:rowOff>
        </xdr:to>
        <xdr:sp macro="" textlink="">
          <xdr:nvSpPr>
            <xdr:cNvPr id="2281" name="Check Box 17" hidden="1">
              <a:extLst>
                <a:ext uri="{63B3BB69-23CF-44E3-9099-C40C66FF867C}">
                  <a14:compatExt spid="_x0000_s2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17</xdr:row>
          <xdr:rowOff>9525</xdr:rowOff>
        </xdr:from>
        <xdr:to>
          <xdr:col>0</xdr:col>
          <xdr:colOff>361950</xdr:colOff>
          <xdr:row>18</xdr:row>
          <xdr:rowOff>152400</xdr:rowOff>
        </xdr:to>
        <xdr:sp macro="" textlink="">
          <xdr:nvSpPr>
            <xdr:cNvPr id="2282" name="Check Box 18" hidden="1">
              <a:extLst>
                <a:ext uri="{63B3BB69-23CF-44E3-9099-C40C66FF867C}">
                  <a14:compatExt spid="_x0000_s2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19</xdr:row>
          <xdr:rowOff>9525</xdr:rowOff>
        </xdr:from>
        <xdr:to>
          <xdr:col>0</xdr:col>
          <xdr:colOff>361950</xdr:colOff>
          <xdr:row>20</xdr:row>
          <xdr:rowOff>0</xdr:rowOff>
        </xdr:to>
        <xdr:sp macro="" textlink="">
          <xdr:nvSpPr>
            <xdr:cNvPr id="2283" name="Check Box 20" hidden="1">
              <a:extLst>
                <a:ext uri="{63B3BB69-23CF-44E3-9099-C40C66FF867C}">
                  <a14:compatExt spid="_x0000_s2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9525</xdr:rowOff>
        </xdr:from>
        <xdr:to>
          <xdr:col>0</xdr:col>
          <xdr:colOff>361950</xdr:colOff>
          <xdr:row>20</xdr:row>
          <xdr:rowOff>161925</xdr:rowOff>
        </xdr:to>
        <xdr:sp macro="" textlink="">
          <xdr:nvSpPr>
            <xdr:cNvPr id="2284" name="Check Box 21" hidden="1">
              <a:extLst>
                <a:ext uri="{63B3BB69-23CF-44E3-9099-C40C66FF867C}">
                  <a14:compatExt spid="_x0000_s2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9525</xdr:rowOff>
        </xdr:from>
        <xdr:to>
          <xdr:col>0</xdr:col>
          <xdr:colOff>361950</xdr:colOff>
          <xdr:row>22</xdr:row>
          <xdr:rowOff>0</xdr:rowOff>
        </xdr:to>
        <xdr:sp macro="" textlink="">
          <xdr:nvSpPr>
            <xdr:cNvPr id="2285" name="Check Box 22" hidden="1">
              <a:extLst>
                <a:ext uri="{63B3BB69-23CF-44E3-9099-C40C66FF867C}">
                  <a14:compatExt spid="_x0000_s2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9525</xdr:rowOff>
        </xdr:from>
        <xdr:to>
          <xdr:col>0</xdr:col>
          <xdr:colOff>361950</xdr:colOff>
          <xdr:row>22</xdr:row>
          <xdr:rowOff>161925</xdr:rowOff>
        </xdr:to>
        <xdr:sp macro="" textlink="">
          <xdr:nvSpPr>
            <xdr:cNvPr id="2286" name="Check Box 23" hidden="1">
              <a:extLst>
                <a:ext uri="{63B3BB69-23CF-44E3-9099-C40C66FF867C}">
                  <a14:compatExt spid="_x0000_s2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23</xdr:row>
          <xdr:rowOff>9525</xdr:rowOff>
        </xdr:from>
        <xdr:to>
          <xdr:col>0</xdr:col>
          <xdr:colOff>361950</xdr:colOff>
          <xdr:row>23</xdr:row>
          <xdr:rowOff>161925</xdr:rowOff>
        </xdr:to>
        <xdr:sp macro="" textlink="">
          <xdr:nvSpPr>
            <xdr:cNvPr id="2287" name="Check Box 24" hidden="1">
              <a:extLst>
                <a:ext uri="{63B3BB69-23CF-44E3-9099-C40C66FF867C}">
                  <a14:compatExt spid="_x0000_s2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xdr:row>
          <xdr:rowOff>9525</xdr:rowOff>
        </xdr:from>
        <xdr:to>
          <xdr:col>0</xdr:col>
          <xdr:colOff>361950</xdr:colOff>
          <xdr:row>25</xdr:row>
          <xdr:rowOff>0</xdr:rowOff>
        </xdr:to>
        <xdr:sp macro="" textlink="">
          <xdr:nvSpPr>
            <xdr:cNvPr id="2288" name="Check Box 25" hidden="1">
              <a:extLst>
                <a:ext uri="{63B3BB69-23CF-44E3-9099-C40C66FF867C}">
                  <a14:compatExt spid="_x0000_s2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25</xdr:row>
          <xdr:rowOff>9525</xdr:rowOff>
        </xdr:from>
        <xdr:to>
          <xdr:col>0</xdr:col>
          <xdr:colOff>361950</xdr:colOff>
          <xdr:row>25</xdr:row>
          <xdr:rowOff>161925</xdr:rowOff>
        </xdr:to>
        <xdr:sp macro="" textlink="">
          <xdr:nvSpPr>
            <xdr:cNvPr id="2289" name="Check Box 26" hidden="1">
              <a:extLst>
                <a:ext uri="{63B3BB69-23CF-44E3-9099-C40C66FF867C}">
                  <a14:compatExt spid="_x0000_s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26</xdr:row>
          <xdr:rowOff>9525</xdr:rowOff>
        </xdr:from>
        <xdr:to>
          <xdr:col>0</xdr:col>
          <xdr:colOff>361950</xdr:colOff>
          <xdr:row>26</xdr:row>
          <xdr:rowOff>161925</xdr:rowOff>
        </xdr:to>
        <xdr:sp macro="" textlink="">
          <xdr:nvSpPr>
            <xdr:cNvPr id="2290" name="Check Box 27" hidden="1">
              <a:extLst>
                <a:ext uri="{63B3BB69-23CF-44E3-9099-C40C66FF867C}">
                  <a14:compatExt spid="_x0000_s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27</xdr:row>
          <xdr:rowOff>9525</xdr:rowOff>
        </xdr:from>
        <xdr:to>
          <xdr:col>0</xdr:col>
          <xdr:colOff>361950</xdr:colOff>
          <xdr:row>28</xdr:row>
          <xdr:rowOff>0</xdr:rowOff>
        </xdr:to>
        <xdr:sp macro="" textlink="">
          <xdr:nvSpPr>
            <xdr:cNvPr id="2291" name="Check Box 28" hidden="1">
              <a:extLst>
                <a:ext uri="{63B3BB69-23CF-44E3-9099-C40C66FF867C}">
                  <a14:compatExt spid="_x0000_s2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28</xdr:row>
          <xdr:rowOff>9525</xdr:rowOff>
        </xdr:from>
        <xdr:to>
          <xdr:col>0</xdr:col>
          <xdr:colOff>361950</xdr:colOff>
          <xdr:row>28</xdr:row>
          <xdr:rowOff>161925</xdr:rowOff>
        </xdr:to>
        <xdr:sp macro="" textlink="">
          <xdr:nvSpPr>
            <xdr:cNvPr id="2292" name="Check Box 29" hidden="1">
              <a:extLst>
                <a:ext uri="{63B3BB69-23CF-44E3-9099-C40C66FF867C}">
                  <a14:compatExt spid="_x0000_s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29</xdr:row>
          <xdr:rowOff>9525</xdr:rowOff>
        </xdr:from>
        <xdr:to>
          <xdr:col>0</xdr:col>
          <xdr:colOff>361950</xdr:colOff>
          <xdr:row>29</xdr:row>
          <xdr:rowOff>161925</xdr:rowOff>
        </xdr:to>
        <xdr:sp macro="" textlink="">
          <xdr:nvSpPr>
            <xdr:cNvPr id="2293" name="Check Box 30" hidden="1">
              <a:extLst>
                <a:ext uri="{63B3BB69-23CF-44E3-9099-C40C66FF867C}">
                  <a14:compatExt spid="_x0000_s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447675</xdr:colOff>
          <xdr:row>89</xdr:row>
          <xdr:rowOff>76200</xdr:rowOff>
        </xdr:from>
        <xdr:to>
          <xdr:col>24</xdr:col>
          <xdr:colOff>257175</xdr:colOff>
          <xdr:row>90</xdr:row>
          <xdr:rowOff>142875</xdr:rowOff>
        </xdr:to>
        <xdr:sp macro="" textlink="">
          <xdr:nvSpPr>
            <xdr:cNvPr id="2302" name="Button 254" hidden="1">
              <a:extLst>
                <a:ext uri="{63B3BB69-23CF-44E3-9099-C40C66FF867C}">
                  <a14:compatExt spid="_x0000_s2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Pass P.O.V.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76</xdr:row>
          <xdr:rowOff>57150</xdr:rowOff>
        </xdr:from>
        <xdr:to>
          <xdr:col>13</xdr:col>
          <xdr:colOff>95250</xdr:colOff>
          <xdr:row>78</xdr:row>
          <xdr:rowOff>100013</xdr:rowOff>
        </xdr:to>
        <xdr:grpSp>
          <xdr:nvGrpSpPr>
            <xdr:cNvPr id="9" name="Group 3"/>
            <xdr:cNvGrpSpPr/>
          </xdr:nvGrpSpPr>
          <xdr:grpSpPr>
            <a:xfrm>
              <a:off x="1914525" y="8181975"/>
              <a:ext cx="3133725" cy="366713"/>
              <a:chOff x="1914525" y="7981950"/>
              <a:chExt cx="3133725" cy="366713"/>
            </a:xfrm>
          </xdr:grpSpPr>
          <xdr:sp macro="" textlink="">
            <xdr:nvSpPr>
              <xdr:cNvPr id="2146" name="Button 98" hidden="1">
                <a:extLst>
                  <a:ext uri="{63B3BB69-23CF-44E3-9099-C40C66FF867C}">
                    <a14:compatExt spid="_x0000_s2146"/>
                  </a:ext>
                </a:extLst>
              </xdr:cNvPr>
              <xdr:cNvSpPr/>
            </xdr:nvSpPr>
            <xdr:spPr bwMode="auto">
              <a:xfrm>
                <a:off x="3943350" y="7981950"/>
                <a:ext cx="1104900"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 HARP</a:t>
                </a:r>
              </a:p>
            </xdr:txBody>
          </xdr:sp>
          <xdr:sp macro="" textlink="">
            <xdr:nvSpPr>
              <xdr:cNvPr id="2304" name="Check Box 255" descr="Check this box if the Marine currently logged on is NOT the requesting Marine." hidden="1">
                <a:extLst>
                  <a:ext uri="{63B3BB69-23CF-44E3-9099-C40C66FF867C}">
                    <a14:compatExt spid="_x0000_s2304"/>
                  </a:ext>
                </a:extLst>
              </xdr:cNvPr>
              <xdr:cNvSpPr/>
            </xdr:nvSpPr>
            <xdr:spPr bwMode="auto">
              <a:xfrm>
                <a:off x="1914525" y="7986713"/>
                <a:ext cx="2038350" cy="36195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this box if the Marine currently logged on is NOT the requesting Marine.</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80</xdr:row>
          <xdr:rowOff>57150</xdr:rowOff>
        </xdr:from>
        <xdr:to>
          <xdr:col>11</xdr:col>
          <xdr:colOff>171450</xdr:colOff>
          <xdr:row>82</xdr:row>
          <xdr:rowOff>95250</xdr:rowOff>
        </xdr:to>
        <xdr:sp macro="" textlink="">
          <xdr:nvSpPr>
            <xdr:cNvPr id="2309" name="Button 261" hidden="1">
              <a:extLst>
                <a:ext uri="{63B3BB69-23CF-44E3-9099-C40C66FF867C}">
                  <a14:compatExt spid="_x0000_s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Supervisor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157519</xdr:colOff>
      <xdr:row>0</xdr:row>
      <xdr:rowOff>28575</xdr:rowOff>
    </xdr:from>
    <xdr:to>
      <xdr:col>2</xdr:col>
      <xdr:colOff>448270</xdr:colOff>
      <xdr:row>6</xdr:row>
      <xdr:rowOff>180975</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157519" y="28575"/>
          <a:ext cx="1719501" cy="1609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0"/>
  <sheetViews>
    <sheetView tabSelected="1" workbookViewId="0">
      <selection sqref="A1:XFD1048576"/>
    </sheetView>
  </sheetViews>
  <sheetFormatPr defaultRowHeight="15" x14ac:dyDescent="0.25"/>
  <cols>
    <col min="1" max="9" width="9.140625" style="62"/>
    <col min="10" max="16384" width="9.140625" style="61"/>
  </cols>
  <sheetData>
    <row r="1" spans="1:21" x14ac:dyDescent="0.25">
      <c r="A1" s="80" t="s">
        <v>310</v>
      </c>
      <c r="B1" s="81"/>
      <c r="C1" s="81"/>
      <c r="D1" s="81"/>
      <c r="E1" s="81"/>
      <c r="F1" s="81"/>
      <c r="G1" s="81"/>
      <c r="H1" s="81"/>
      <c r="I1" s="82"/>
      <c r="K1" s="70" t="s">
        <v>307</v>
      </c>
      <c r="L1" s="63"/>
      <c r="M1" s="63"/>
      <c r="N1" s="63"/>
      <c r="O1" s="63"/>
      <c r="P1" s="63"/>
      <c r="Q1" s="63"/>
      <c r="R1" s="64"/>
    </row>
    <row r="2" spans="1:21" x14ac:dyDescent="0.25">
      <c r="A2" s="83"/>
      <c r="B2" s="84"/>
      <c r="C2" s="84"/>
      <c r="D2" s="84"/>
      <c r="E2" s="84"/>
      <c r="F2" s="84"/>
      <c r="G2" s="84"/>
      <c r="H2" s="84"/>
      <c r="I2" s="85"/>
      <c r="K2" s="65"/>
      <c r="R2" s="66"/>
    </row>
    <row r="3" spans="1:21" x14ac:dyDescent="0.25">
      <c r="A3" s="83"/>
      <c r="B3" s="84"/>
      <c r="C3" s="84"/>
      <c r="D3" s="84"/>
      <c r="E3" s="84"/>
      <c r="F3" s="84"/>
      <c r="G3" s="84"/>
      <c r="H3" s="84"/>
      <c r="I3" s="85"/>
      <c r="K3" s="65"/>
      <c r="R3" s="66"/>
    </row>
    <row r="4" spans="1:21" x14ac:dyDescent="0.25">
      <c r="A4" s="83"/>
      <c r="B4" s="84"/>
      <c r="C4" s="84"/>
      <c r="D4" s="84"/>
      <c r="E4" s="84"/>
      <c r="F4" s="84"/>
      <c r="G4" s="84"/>
      <c r="H4" s="84"/>
      <c r="I4" s="85"/>
      <c r="K4" s="70" t="s">
        <v>308</v>
      </c>
      <c r="L4" s="63"/>
      <c r="M4" s="63"/>
      <c r="N4" s="63"/>
      <c r="O4" s="63"/>
      <c r="P4" s="71"/>
      <c r="Q4" s="63"/>
      <c r="R4" s="63"/>
      <c r="S4" s="63"/>
      <c r="T4" s="63"/>
      <c r="U4" s="64"/>
    </row>
    <row r="5" spans="1:21" x14ac:dyDescent="0.25">
      <c r="A5" s="83"/>
      <c r="B5" s="84"/>
      <c r="C5" s="84"/>
      <c r="D5" s="84"/>
      <c r="E5" s="84"/>
      <c r="F5" s="84"/>
      <c r="G5" s="84"/>
      <c r="H5" s="84"/>
      <c r="I5" s="85"/>
      <c r="K5" s="65"/>
      <c r="U5" s="66"/>
    </row>
    <row r="6" spans="1:21" x14ac:dyDescent="0.25">
      <c r="A6" s="83"/>
      <c r="B6" s="84"/>
      <c r="C6" s="84"/>
      <c r="D6" s="84"/>
      <c r="E6" s="84"/>
      <c r="F6" s="84"/>
      <c r="G6" s="84"/>
      <c r="H6" s="84"/>
      <c r="I6" s="85"/>
      <c r="K6" s="65"/>
      <c r="U6" s="66"/>
    </row>
    <row r="7" spans="1:21" x14ac:dyDescent="0.25">
      <c r="A7" s="83"/>
      <c r="B7" s="84"/>
      <c r="C7" s="84"/>
      <c r="D7" s="84"/>
      <c r="E7" s="84"/>
      <c r="F7" s="84"/>
      <c r="G7" s="84"/>
      <c r="H7" s="84"/>
      <c r="I7" s="85"/>
      <c r="K7" s="67"/>
      <c r="L7" s="68"/>
      <c r="M7" s="68"/>
      <c r="N7" s="68"/>
      <c r="O7" s="68"/>
      <c r="P7" s="68"/>
      <c r="Q7" s="68"/>
      <c r="R7" s="68"/>
      <c r="S7" s="68"/>
      <c r="T7" s="68"/>
      <c r="U7" s="69"/>
    </row>
    <row r="8" spans="1:21" x14ac:dyDescent="0.25">
      <c r="A8" s="83"/>
      <c r="B8" s="84"/>
      <c r="C8" s="84"/>
      <c r="D8" s="84"/>
      <c r="E8" s="84"/>
      <c r="F8" s="84"/>
      <c r="G8" s="84"/>
      <c r="H8" s="84"/>
      <c r="I8" s="85"/>
      <c r="K8" s="70" t="s">
        <v>309</v>
      </c>
      <c r="L8" s="63"/>
      <c r="M8" s="63"/>
      <c r="N8" s="63"/>
      <c r="O8" s="64"/>
      <c r="P8" s="70" t="s">
        <v>311</v>
      </c>
      <c r="Q8" s="63"/>
      <c r="R8" s="63"/>
      <c r="S8" s="63"/>
      <c r="T8" s="63"/>
      <c r="U8" s="64"/>
    </row>
    <row r="9" spans="1:21" x14ac:dyDescent="0.25">
      <c r="A9" s="83"/>
      <c r="B9" s="84"/>
      <c r="C9" s="84"/>
      <c r="D9" s="84"/>
      <c r="E9" s="84"/>
      <c r="F9" s="84"/>
      <c r="G9" s="84"/>
      <c r="H9" s="84"/>
      <c r="I9" s="85"/>
      <c r="K9" s="65"/>
      <c r="O9" s="66"/>
      <c r="P9" s="65"/>
      <c r="U9" s="66"/>
    </row>
    <row r="10" spans="1:21" x14ac:dyDescent="0.25">
      <c r="A10" s="83"/>
      <c r="B10" s="84"/>
      <c r="C10" s="84"/>
      <c r="D10" s="84"/>
      <c r="E10" s="84"/>
      <c r="F10" s="84"/>
      <c r="G10" s="84"/>
      <c r="H10" s="84"/>
      <c r="I10" s="85"/>
      <c r="K10" s="65"/>
      <c r="O10" s="66"/>
      <c r="P10" s="65"/>
      <c r="U10" s="66"/>
    </row>
    <row r="11" spans="1:21" x14ac:dyDescent="0.25">
      <c r="A11" s="83"/>
      <c r="B11" s="84"/>
      <c r="C11" s="84"/>
      <c r="D11" s="84"/>
      <c r="E11" s="84"/>
      <c r="F11" s="84"/>
      <c r="G11" s="84"/>
      <c r="H11" s="84"/>
      <c r="I11" s="85"/>
      <c r="K11" s="65"/>
      <c r="O11" s="66"/>
      <c r="P11" s="65"/>
      <c r="U11" s="66"/>
    </row>
    <row r="12" spans="1:21" x14ac:dyDescent="0.25">
      <c r="A12" s="83"/>
      <c r="B12" s="84"/>
      <c r="C12" s="84"/>
      <c r="D12" s="84"/>
      <c r="E12" s="84"/>
      <c r="F12" s="84"/>
      <c r="G12" s="84"/>
      <c r="H12" s="84"/>
      <c r="I12" s="85"/>
      <c r="K12" s="65"/>
      <c r="O12" s="66"/>
      <c r="P12" s="65"/>
      <c r="U12" s="66"/>
    </row>
    <row r="13" spans="1:21" x14ac:dyDescent="0.25">
      <c r="A13" s="83"/>
      <c r="B13" s="84"/>
      <c r="C13" s="84"/>
      <c r="D13" s="84"/>
      <c r="E13" s="84"/>
      <c r="F13" s="84"/>
      <c r="G13" s="84"/>
      <c r="H13" s="84"/>
      <c r="I13" s="85"/>
      <c r="K13" s="65"/>
      <c r="O13" s="66"/>
      <c r="P13" s="65"/>
      <c r="U13" s="66"/>
    </row>
    <row r="14" spans="1:21" x14ac:dyDescent="0.25">
      <c r="A14" s="83"/>
      <c r="B14" s="84"/>
      <c r="C14" s="84"/>
      <c r="D14" s="84"/>
      <c r="E14" s="84"/>
      <c r="F14" s="84"/>
      <c r="G14" s="84"/>
      <c r="H14" s="84"/>
      <c r="I14" s="85"/>
      <c r="K14" s="65"/>
      <c r="O14" s="66"/>
      <c r="P14" s="65"/>
      <c r="U14" s="66"/>
    </row>
    <row r="15" spans="1:21" x14ac:dyDescent="0.25">
      <c r="A15" s="83"/>
      <c r="B15" s="84"/>
      <c r="C15" s="84"/>
      <c r="D15" s="84"/>
      <c r="E15" s="84"/>
      <c r="F15" s="84"/>
      <c r="G15" s="84"/>
      <c r="H15" s="84"/>
      <c r="I15" s="85"/>
      <c r="K15" s="65"/>
      <c r="O15" s="66"/>
      <c r="P15" s="65"/>
      <c r="U15" s="66"/>
    </row>
    <row r="16" spans="1:21" x14ac:dyDescent="0.25">
      <c r="A16" s="83"/>
      <c r="B16" s="84"/>
      <c r="C16" s="84"/>
      <c r="D16" s="84"/>
      <c r="E16" s="84"/>
      <c r="F16" s="84"/>
      <c r="G16" s="84"/>
      <c r="H16" s="84"/>
      <c r="I16" s="85"/>
      <c r="K16" s="65"/>
      <c r="O16" s="66"/>
      <c r="P16" s="65"/>
      <c r="U16" s="66"/>
    </row>
    <row r="17" spans="1:21" x14ac:dyDescent="0.25">
      <c r="A17" s="83"/>
      <c r="B17" s="84"/>
      <c r="C17" s="84"/>
      <c r="D17" s="84"/>
      <c r="E17" s="84"/>
      <c r="F17" s="84"/>
      <c r="G17" s="84"/>
      <c r="H17" s="84"/>
      <c r="I17" s="85"/>
      <c r="K17" s="65"/>
      <c r="O17" s="66"/>
      <c r="P17" s="67"/>
      <c r="Q17" s="68"/>
      <c r="R17" s="68"/>
      <c r="S17" s="68"/>
      <c r="T17" s="68"/>
      <c r="U17" s="69"/>
    </row>
    <row r="18" spans="1:21" x14ac:dyDescent="0.25">
      <c r="A18" s="83"/>
      <c r="B18" s="84"/>
      <c r="C18" s="84"/>
      <c r="D18" s="84"/>
      <c r="E18" s="84"/>
      <c r="F18" s="84"/>
      <c r="G18" s="84"/>
      <c r="H18" s="84"/>
      <c r="I18" s="85"/>
      <c r="K18" s="65"/>
      <c r="O18" s="66"/>
    </row>
    <row r="19" spans="1:21" x14ac:dyDescent="0.25">
      <c r="A19" s="83"/>
      <c r="B19" s="84"/>
      <c r="C19" s="84"/>
      <c r="D19" s="84"/>
      <c r="E19" s="84"/>
      <c r="F19" s="84"/>
      <c r="G19" s="84"/>
      <c r="H19" s="84"/>
      <c r="I19" s="85"/>
      <c r="K19" s="65"/>
      <c r="O19" s="66"/>
    </row>
    <row r="20" spans="1:21" x14ac:dyDescent="0.25">
      <c r="A20" s="83"/>
      <c r="B20" s="84"/>
      <c r="C20" s="84"/>
      <c r="D20" s="84"/>
      <c r="E20" s="84"/>
      <c r="F20" s="84"/>
      <c r="G20" s="84"/>
      <c r="H20" s="84"/>
      <c r="I20" s="85"/>
      <c r="K20" s="65"/>
      <c r="O20" s="66"/>
    </row>
    <row r="21" spans="1:21" x14ac:dyDescent="0.25">
      <c r="A21" s="83"/>
      <c r="B21" s="84"/>
      <c r="C21" s="84"/>
      <c r="D21" s="84"/>
      <c r="E21" s="84"/>
      <c r="F21" s="84"/>
      <c r="G21" s="84"/>
      <c r="H21" s="84"/>
      <c r="I21" s="85"/>
      <c r="K21" s="65"/>
      <c r="O21" s="66"/>
    </row>
    <row r="22" spans="1:21" x14ac:dyDescent="0.25">
      <c r="A22" s="83"/>
      <c r="B22" s="84"/>
      <c r="C22" s="84"/>
      <c r="D22" s="84"/>
      <c r="E22" s="84"/>
      <c r="F22" s="84"/>
      <c r="G22" s="84"/>
      <c r="H22" s="84"/>
      <c r="I22" s="85"/>
      <c r="K22" s="65"/>
      <c r="O22" s="66"/>
    </row>
    <row r="23" spans="1:21" x14ac:dyDescent="0.25">
      <c r="A23" s="83"/>
      <c r="B23" s="84"/>
      <c r="C23" s="84"/>
      <c r="D23" s="84"/>
      <c r="E23" s="84"/>
      <c r="F23" s="84"/>
      <c r="G23" s="84"/>
      <c r="H23" s="84"/>
      <c r="I23" s="85"/>
      <c r="K23" s="65"/>
      <c r="O23" s="66"/>
    </row>
    <row r="24" spans="1:21" x14ac:dyDescent="0.25">
      <c r="A24" s="83"/>
      <c r="B24" s="84"/>
      <c r="C24" s="84"/>
      <c r="D24" s="84"/>
      <c r="E24" s="84"/>
      <c r="F24" s="84"/>
      <c r="G24" s="84"/>
      <c r="H24" s="84"/>
      <c r="I24" s="85"/>
      <c r="K24" s="65"/>
      <c r="O24" s="66"/>
    </row>
    <row r="25" spans="1:21" x14ac:dyDescent="0.25">
      <c r="A25" s="83"/>
      <c r="B25" s="84"/>
      <c r="C25" s="84"/>
      <c r="D25" s="84"/>
      <c r="E25" s="84"/>
      <c r="F25" s="84"/>
      <c r="G25" s="84"/>
      <c r="H25" s="84"/>
      <c r="I25" s="85"/>
      <c r="K25" s="65"/>
      <c r="O25" s="66"/>
    </row>
    <row r="26" spans="1:21" x14ac:dyDescent="0.25">
      <c r="A26" s="83"/>
      <c r="B26" s="84"/>
      <c r="C26" s="84"/>
      <c r="D26" s="84"/>
      <c r="E26" s="84"/>
      <c r="F26" s="84"/>
      <c r="G26" s="84"/>
      <c r="H26" s="84"/>
      <c r="I26" s="85"/>
      <c r="K26" s="65"/>
      <c r="O26" s="66"/>
    </row>
    <row r="27" spans="1:21" x14ac:dyDescent="0.25">
      <c r="A27" s="83"/>
      <c r="B27" s="84"/>
      <c r="C27" s="84"/>
      <c r="D27" s="84"/>
      <c r="E27" s="84"/>
      <c r="F27" s="84"/>
      <c r="G27" s="84"/>
      <c r="H27" s="84"/>
      <c r="I27" s="85"/>
      <c r="K27" s="65"/>
      <c r="O27" s="66"/>
    </row>
    <row r="28" spans="1:21" x14ac:dyDescent="0.25">
      <c r="A28" s="83"/>
      <c r="B28" s="84"/>
      <c r="C28" s="84"/>
      <c r="D28" s="84"/>
      <c r="E28" s="84"/>
      <c r="F28" s="84"/>
      <c r="G28" s="84"/>
      <c r="H28" s="84"/>
      <c r="I28" s="85"/>
      <c r="K28" s="65"/>
      <c r="O28" s="66"/>
    </row>
    <row r="29" spans="1:21" x14ac:dyDescent="0.25">
      <c r="A29" s="83"/>
      <c r="B29" s="84"/>
      <c r="C29" s="84"/>
      <c r="D29" s="84"/>
      <c r="E29" s="84"/>
      <c r="F29" s="84"/>
      <c r="G29" s="84"/>
      <c r="H29" s="84"/>
      <c r="I29" s="85"/>
      <c r="K29" s="67"/>
      <c r="L29" s="68"/>
      <c r="M29" s="68"/>
      <c r="N29" s="68"/>
      <c r="O29" s="69"/>
    </row>
    <row r="30" spans="1:21" ht="15.75" thickBot="1" x14ac:dyDescent="0.3">
      <c r="A30" s="86"/>
      <c r="B30" s="87"/>
      <c r="C30" s="87"/>
      <c r="D30" s="87"/>
      <c r="E30" s="87"/>
      <c r="F30" s="87"/>
      <c r="G30" s="87"/>
      <c r="H30" s="87"/>
      <c r="I30" s="88"/>
    </row>
  </sheetData>
  <sheetProtection algorithmName="SHA-512" hashValue="JVEEPWAPLvgtSmtIb4QnR5Gfq9r94B/0RU03PatYNvSKa6fk4i5QJcG1mpepOGLWHR76g5M7IMHpV6xIIKIRbA==" saltValue="FLu3oECRjXDBu5QlVHI3HA==" spinCount="100000" sheet="1" objects="1" scenarios="1" selectLockedCells="1" selectUnlockedCells="1"/>
  <mergeCells count="1">
    <mergeCell ref="A1:I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Z95"/>
  <sheetViews>
    <sheetView zoomScaleNormal="100" workbookViewId="0">
      <selection activeCell="A4" sqref="A4:E5"/>
    </sheetView>
  </sheetViews>
  <sheetFormatPr defaultColWidth="10.7109375" defaultRowHeight="12.75" x14ac:dyDescent="0.2"/>
  <cols>
    <col min="1" max="20" width="5.7109375" style="1" customWidth="1"/>
    <col min="21" max="21" width="10.7109375" style="1"/>
    <col min="22" max="26" width="10.7109375" style="1" hidden="1" customWidth="1"/>
    <col min="27" max="16384" width="10.7109375" style="1"/>
  </cols>
  <sheetData>
    <row r="1" spans="1:20" ht="12.75" customHeight="1" x14ac:dyDescent="0.2">
      <c r="A1" s="284" t="s">
        <v>306</v>
      </c>
      <c r="B1" s="285"/>
      <c r="C1" s="181" t="s">
        <v>0</v>
      </c>
      <c r="D1" s="181"/>
      <c r="E1" s="181"/>
      <c r="F1" s="181"/>
      <c r="G1" s="181"/>
      <c r="H1" s="181"/>
      <c r="I1" s="181"/>
      <c r="J1" s="181"/>
      <c r="K1" s="181"/>
      <c r="L1" s="181"/>
      <c r="M1" s="181"/>
      <c r="N1" s="181"/>
      <c r="O1" s="181"/>
      <c r="P1" s="181"/>
      <c r="Q1" s="181"/>
      <c r="R1" s="181"/>
      <c r="S1" s="181"/>
      <c r="T1" s="182"/>
    </row>
    <row r="2" spans="1:20" ht="12.75" customHeight="1" thickBot="1" x14ac:dyDescent="0.25">
      <c r="A2" s="282" t="s">
        <v>317</v>
      </c>
      <c r="B2" s="283"/>
      <c r="C2" s="208"/>
      <c r="D2" s="208"/>
      <c r="E2" s="208"/>
      <c r="F2" s="208"/>
      <c r="G2" s="208"/>
      <c r="H2" s="208"/>
      <c r="I2" s="208"/>
      <c r="J2" s="208"/>
      <c r="K2" s="208"/>
      <c r="L2" s="208"/>
      <c r="M2" s="208"/>
      <c r="N2" s="208"/>
      <c r="O2" s="208"/>
      <c r="P2" s="208"/>
      <c r="Q2" s="208"/>
      <c r="R2" s="208"/>
      <c r="S2" s="208"/>
      <c r="T2" s="209"/>
    </row>
    <row r="3" spans="1:20" ht="12.75" customHeight="1" thickBot="1" x14ac:dyDescent="0.25">
      <c r="A3" s="251" t="s">
        <v>281</v>
      </c>
      <c r="B3" s="252"/>
      <c r="C3" s="252"/>
      <c r="D3" s="252"/>
      <c r="E3" s="253"/>
      <c r="F3" s="133" t="s">
        <v>1</v>
      </c>
      <c r="G3" s="135"/>
      <c r="H3" s="133" t="s">
        <v>2</v>
      </c>
      <c r="I3" s="135"/>
      <c r="J3" s="133" t="s">
        <v>3</v>
      </c>
      <c r="K3" s="135"/>
      <c r="L3" s="133" t="s">
        <v>4</v>
      </c>
      <c r="M3" s="135"/>
      <c r="N3" s="133" t="s">
        <v>62</v>
      </c>
      <c r="O3" s="134"/>
      <c r="P3" s="135"/>
      <c r="Q3" s="251" t="s">
        <v>235</v>
      </c>
      <c r="R3" s="252"/>
      <c r="S3" s="252"/>
      <c r="T3" s="253"/>
    </row>
    <row r="4" spans="1:20" ht="12.75" customHeight="1" x14ac:dyDescent="0.2">
      <c r="A4" s="270"/>
      <c r="B4" s="271"/>
      <c r="C4" s="271"/>
      <c r="D4" s="271"/>
      <c r="E4" s="272"/>
      <c r="F4" s="254"/>
      <c r="G4" s="255"/>
      <c r="H4" s="214"/>
      <c r="I4" s="268"/>
      <c r="J4" s="238"/>
      <c r="K4" s="240"/>
      <c r="L4" s="264" t="s">
        <v>287</v>
      </c>
      <c r="M4" s="265"/>
      <c r="N4" s="270"/>
      <c r="O4" s="271"/>
      <c r="P4" s="272"/>
      <c r="Q4" s="276"/>
      <c r="R4" s="277"/>
      <c r="S4" s="277"/>
      <c r="T4" s="278"/>
    </row>
    <row r="5" spans="1:20" ht="12.75" customHeight="1" thickBot="1" x14ac:dyDescent="0.25">
      <c r="A5" s="273"/>
      <c r="B5" s="274"/>
      <c r="C5" s="274"/>
      <c r="D5" s="274"/>
      <c r="E5" s="275"/>
      <c r="F5" s="256"/>
      <c r="G5" s="257"/>
      <c r="H5" s="216"/>
      <c r="I5" s="269"/>
      <c r="J5" s="241"/>
      <c r="K5" s="243"/>
      <c r="L5" s="266"/>
      <c r="M5" s="267"/>
      <c r="N5" s="273"/>
      <c r="O5" s="274"/>
      <c r="P5" s="275"/>
      <c r="Q5" s="279"/>
      <c r="R5" s="280"/>
      <c r="S5" s="280"/>
      <c r="T5" s="281"/>
    </row>
    <row r="6" spans="1:20" ht="12.75" customHeight="1" thickBot="1" x14ac:dyDescent="0.25">
      <c r="A6" s="133" t="s">
        <v>59</v>
      </c>
      <c r="B6" s="134"/>
      <c r="C6" s="134"/>
      <c r="D6" s="134"/>
      <c r="E6" s="134"/>
      <c r="F6" s="135"/>
      <c r="G6" s="133" t="s">
        <v>7</v>
      </c>
      <c r="H6" s="134"/>
      <c r="I6" s="134"/>
      <c r="J6" s="263"/>
      <c r="K6" s="121" t="s">
        <v>275</v>
      </c>
      <c r="L6" s="122"/>
      <c r="M6" s="122"/>
      <c r="N6" s="123"/>
      <c r="O6" s="258" t="s">
        <v>276</v>
      </c>
      <c r="P6" s="259"/>
      <c r="Q6" s="259"/>
      <c r="R6" s="260"/>
      <c r="S6" s="261" t="s">
        <v>60</v>
      </c>
      <c r="T6" s="262"/>
    </row>
    <row r="7" spans="1:20" ht="12.75" customHeight="1" x14ac:dyDescent="0.2">
      <c r="A7" s="226" t="s">
        <v>287</v>
      </c>
      <c r="B7" s="210"/>
      <c r="C7" s="210"/>
      <c r="D7" s="210"/>
      <c r="E7" s="210"/>
      <c r="F7" s="211"/>
      <c r="G7" s="227"/>
      <c r="H7" s="228"/>
      <c r="I7" s="228"/>
      <c r="J7" s="229"/>
      <c r="K7" s="31" t="s">
        <v>277</v>
      </c>
      <c r="L7" s="313" t="s">
        <v>287</v>
      </c>
      <c r="M7" s="314"/>
      <c r="N7" s="315"/>
      <c r="O7" s="33" t="s">
        <v>277</v>
      </c>
      <c r="P7" s="309" t="s">
        <v>287</v>
      </c>
      <c r="Q7" s="286"/>
      <c r="R7" s="287"/>
      <c r="S7" s="233" t="str">
        <f>IF(OR(L7="",P7="",L8="",P8=""),"",SUM(IF(VALUE(L7)&lt;1200, 1, 0), SUM(DATEDIF(DATE(LEFT(L8,LEN(L8)-4), MID(L8,LEN(L8)-3, 2), RIGHT(L8,LEN(L8)-6)), DATE(LEFT(P8,LEN(P8)-4), MID(P8,LEN(P8)-3, 2), RIGHT(P8,LEN(P8)-6)), "d"),-1), IF(VALUE(P7)&lt;1200, 0, 1)))</f>
        <v/>
      </c>
      <c r="T7" s="234"/>
    </row>
    <row r="8" spans="1:20" ht="12.75" customHeight="1" thickBot="1" x14ac:dyDescent="0.25">
      <c r="A8" s="235" t="s">
        <v>287</v>
      </c>
      <c r="B8" s="236"/>
      <c r="C8" s="236"/>
      <c r="D8" s="236"/>
      <c r="E8" s="236"/>
      <c r="F8" s="237"/>
      <c r="G8" s="230"/>
      <c r="H8" s="231"/>
      <c r="I8" s="231"/>
      <c r="J8" s="232"/>
      <c r="K8" s="32" t="s">
        <v>25</v>
      </c>
      <c r="L8" s="310" t="s">
        <v>287</v>
      </c>
      <c r="M8" s="311"/>
      <c r="N8" s="312"/>
      <c r="O8" s="34" t="s">
        <v>25</v>
      </c>
      <c r="P8" s="306" t="s">
        <v>287</v>
      </c>
      <c r="Q8" s="307"/>
      <c r="R8" s="308"/>
      <c r="S8" s="204"/>
      <c r="T8" s="206"/>
    </row>
    <row r="9" spans="1:20" ht="13.5" thickBot="1" x14ac:dyDescent="0.25">
      <c r="A9" s="121" t="s">
        <v>37</v>
      </c>
      <c r="B9" s="122"/>
      <c r="C9" s="123"/>
      <c r="D9" s="121" t="s">
        <v>61</v>
      </c>
      <c r="E9" s="122"/>
      <c r="F9" s="122"/>
      <c r="G9" s="123"/>
      <c r="H9" s="121" t="s">
        <v>36</v>
      </c>
      <c r="I9" s="122"/>
      <c r="J9" s="123"/>
      <c r="K9" s="244" t="s">
        <v>63</v>
      </c>
      <c r="L9" s="245"/>
      <c r="M9" s="245"/>
      <c r="N9" s="246"/>
      <c r="O9" s="247" t="s">
        <v>282</v>
      </c>
      <c r="P9" s="248"/>
      <c r="Q9" s="248"/>
      <c r="R9" s="248"/>
      <c r="S9" s="249"/>
      <c r="T9" s="250"/>
    </row>
    <row r="10" spans="1:20" ht="15" customHeight="1" x14ac:dyDescent="0.2">
      <c r="A10" s="238" t="s">
        <v>287</v>
      </c>
      <c r="B10" s="239"/>
      <c r="C10" s="240"/>
      <c r="D10" s="238" t="s">
        <v>287</v>
      </c>
      <c r="E10" s="239"/>
      <c r="F10" s="239"/>
      <c r="G10" s="240"/>
      <c r="H10" s="238" t="s">
        <v>287</v>
      </c>
      <c r="I10" s="239"/>
      <c r="J10" s="240"/>
      <c r="K10" s="319"/>
      <c r="L10" s="320"/>
      <c r="M10" s="320"/>
      <c r="N10" s="323" t="s">
        <v>222</v>
      </c>
      <c r="O10" s="214"/>
      <c r="P10" s="215"/>
      <c r="Q10" s="210"/>
      <c r="R10" s="210"/>
      <c r="S10" s="210"/>
      <c r="T10" s="211"/>
    </row>
    <row r="11" spans="1:20" ht="12.75" customHeight="1" thickBot="1" x14ac:dyDescent="0.25">
      <c r="A11" s="241"/>
      <c r="B11" s="242"/>
      <c r="C11" s="243"/>
      <c r="D11" s="241"/>
      <c r="E11" s="242"/>
      <c r="F11" s="242"/>
      <c r="G11" s="243"/>
      <c r="H11" s="241"/>
      <c r="I11" s="242"/>
      <c r="J11" s="243"/>
      <c r="K11" s="321"/>
      <c r="L11" s="322"/>
      <c r="M11" s="322"/>
      <c r="N11" s="324"/>
      <c r="O11" s="216"/>
      <c r="P11" s="90"/>
      <c r="Q11" s="212"/>
      <c r="R11" s="212"/>
      <c r="S11" s="212"/>
      <c r="T11" s="213"/>
    </row>
    <row r="12" spans="1:20" ht="12.75" customHeight="1" x14ac:dyDescent="0.2">
      <c r="A12" s="207" t="s">
        <v>91</v>
      </c>
      <c r="B12" s="181"/>
      <c r="C12" s="181"/>
      <c r="D12" s="181"/>
      <c r="E12" s="181"/>
      <c r="F12" s="181"/>
      <c r="G12" s="181"/>
      <c r="H12" s="181"/>
      <c r="I12" s="181"/>
      <c r="J12" s="181"/>
      <c r="K12" s="181"/>
      <c r="L12" s="181"/>
      <c r="M12" s="181"/>
      <c r="N12" s="181"/>
      <c r="O12" s="181"/>
      <c r="P12" s="181"/>
      <c r="Q12" s="181"/>
      <c r="R12" s="181"/>
      <c r="S12" s="181"/>
      <c r="T12" s="182"/>
    </row>
    <row r="13" spans="1:20" ht="12.75" customHeight="1" thickBot="1" x14ac:dyDescent="0.25">
      <c r="A13" s="179"/>
      <c r="B13" s="180"/>
      <c r="C13" s="180"/>
      <c r="D13" s="180"/>
      <c r="E13" s="180"/>
      <c r="F13" s="180"/>
      <c r="G13" s="180"/>
      <c r="H13" s="180"/>
      <c r="I13" s="180"/>
      <c r="J13" s="180"/>
      <c r="K13" s="180"/>
      <c r="L13" s="208"/>
      <c r="M13" s="208"/>
      <c r="N13" s="208"/>
      <c r="O13" s="208"/>
      <c r="P13" s="208"/>
      <c r="Q13" s="208"/>
      <c r="R13" s="208"/>
      <c r="S13" s="208"/>
      <c r="T13" s="209"/>
    </row>
    <row r="14" spans="1:20" ht="12.75" customHeight="1" x14ac:dyDescent="0.2">
      <c r="A14" s="35" t="b">
        <v>0</v>
      </c>
      <c r="B14" s="224" t="s">
        <v>84</v>
      </c>
      <c r="C14" s="224"/>
      <c r="D14" s="224"/>
      <c r="E14" s="224"/>
      <c r="F14" s="224"/>
      <c r="G14" s="224"/>
      <c r="H14" s="224"/>
      <c r="I14" s="224"/>
      <c r="J14" s="224"/>
      <c r="K14" s="224"/>
      <c r="L14" s="111" t="s">
        <v>31</v>
      </c>
      <c r="M14" s="112"/>
      <c r="N14" s="112"/>
      <c r="O14" s="112"/>
      <c r="P14" s="112"/>
      <c r="Q14" s="112"/>
      <c r="R14" s="112"/>
      <c r="S14" s="112"/>
      <c r="T14" s="78"/>
    </row>
    <row r="15" spans="1:20" ht="13.5" customHeight="1" x14ac:dyDescent="0.2">
      <c r="A15" s="36" t="b">
        <v>0</v>
      </c>
      <c r="B15" s="177" t="s">
        <v>272</v>
      </c>
      <c r="C15" s="177"/>
      <c r="D15" s="177"/>
      <c r="E15" s="177"/>
      <c r="F15" s="177"/>
      <c r="G15" s="177"/>
      <c r="H15" s="177"/>
      <c r="I15" s="177"/>
      <c r="J15" s="177"/>
      <c r="K15" s="177"/>
      <c r="L15" s="124" t="s">
        <v>88</v>
      </c>
      <c r="M15" s="125"/>
      <c r="N15" s="125"/>
      <c r="O15" s="125"/>
      <c r="P15" s="125"/>
      <c r="Q15" s="125"/>
      <c r="R15" s="125"/>
      <c r="S15" s="125"/>
      <c r="T15" s="79"/>
    </row>
    <row r="16" spans="1:20" ht="13.5" customHeight="1" x14ac:dyDescent="0.2">
      <c r="A16" s="36" t="b">
        <v>0</v>
      </c>
      <c r="B16" s="177" t="s">
        <v>229</v>
      </c>
      <c r="C16" s="177"/>
      <c r="D16" s="177"/>
      <c r="E16" s="177"/>
      <c r="F16" s="177"/>
      <c r="G16" s="177"/>
      <c r="H16" s="177"/>
      <c r="I16" s="177"/>
      <c r="J16" s="177"/>
      <c r="K16" s="177"/>
      <c r="L16" s="124" t="s">
        <v>30</v>
      </c>
      <c r="M16" s="125"/>
      <c r="N16" s="125"/>
      <c r="O16" s="125"/>
      <c r="P16" s="125"/>
      <c r="Q16" s="125"/>
      <c r="R16" s="125"/>
      <c r="S16" s="125"/>
      <c r="T16" s="79"/>
    </row>
    <row r="17" spans="1:20" ht="13.5" customHeight="1" x14ac:dyDescent="0.2">
      <c r="A17" s="36" t="b">
        <v>0</v>
      </c>
      <c r="B17" s="177" t="s">
        <v>228</v>
      </c>
      <c r="C17" s="177"/>
      <c r="D17" s="177"/>
      <c r="E17" s="177"/>
      <c r="F17" s="177"/>
      <c r="G17" s="177"/>
      <c r="H17" s="177"/>
      <c r="I17" s="177"/>
      <c r="J17" s="177"/>
      <c r="K17" s="177"/>
      <c r="L17" s="124" t="s">
        <v>28</v>
      </c>
      <c r="M17" s="125"/>
      <c r="N17" s="125"/>
      <c r="O17" s="125"/>
      <c r="P17" s="125"/>
      <c r="Q17" s="125"/>
      <c r="R17" s="125"/>
      <c r="S17" s="125"/>
      <c r="T17" s="79"/>
    </row>
    <row r="18" spans="1:20" ht="12.75" customHeight="1" x14ac:dyDescent="0.2">
      <c r="A18" s="220" t="b">
        <v>0</v>
      </c>
      <c r="B18" s="199" t="s">
        <v>86</v>
      </c>
      <c r="C18" s="199"/>
      <c r="D18" s="199"/>
      <c r="E18" s="199"/>
      <c r="F18" s="199"/>
      <c r="G18" s="199"/>
      <c r="H18" s="199"/>
      <c r="I18" s="199"/>
      <c r="J18" s="199"/>
      <c r="K18" s="199"/>
      <c r="L18" s="222" t="s">
        <v>90</v>
      </c>
      <c r="M18" s="223"/>
      <c r="N18" s="223"/>
      <c r="O18" s="223"/>
      <c r="P18" s="223"/>
      <c r="Q18" s="223"/>
      <c r="R18" s="223"/>
      <c r="S18" s="223"/>
      <c r="T18" s="225"/>
    </row>
    <row r="19" spans="1:20" ht="12.75" customHeight="1" x14ac:dyDescent="0.2">
      <c r="A19" s="221"/>
      <c r="B19" s="200"/>
      <c r="C19" s="200"/>
      <c r="D19" s="200"/>
      <c r="E19" s="200"/>
      <c r="F19" s="200"/>
      <c r="G19" s="200"/>
      <c r="H19" s="200"/>
      <c r="I19" s="200"/>
      <c r="J19" s="200"/>
      <c r="K19" s="200"/>
      <c r="L19" s="222"/>
      <c r="M19" s="223"/>
      <c r="N19" s="223"/>
      <c r="O19" s="223"/>
      <c r="P19" s="223"/>
      <c r="Q19" s="223"/>
      <c r="R19" s="223"/>
      <c r="S19" s="223"/>
      <c r="T19" s="225"/>
    </row>
    <row r="20" spans="1:20" ht="12.75" customHeight="1" x14ac:dyDescent="0.2">
      <c r="A20" s="36" t="b">
        <v>0</v>
      </c>
      <c r="B20" s="177" t="s">
        <v>227</v>
      </c>
      <c r="C20" s="177"/>
      <c r="D20" s="177"/>
      <c r="E20" s="177"/>
      <c r="F20" s="177"/>
      <c r="G20" s="177"/>
      <c r="H20" s="177"/>
      <c r="I20" s="177"/>
      <c r="J20" s="177"/>
      <c r="K20" s="44"/>
      <c r="L20" s="124" t="s">
        <v>89</v>
      </c>
      <c r="M20" s="125"/>
      <c r="N20" s="125"/>
      <c r="O20" s="125"/>
      <c r="P20" s="125"/>
      <c r="Q20" s="125"/>
      <c r="R20" s="125"/>
      <c r="S20" s="125"/>
      <c r="T20" s="79"/>
    </row>
    <row r="21" spans="1:20" ht="13.5" customHeight="1" x14ac:dyDescent="0.2">
      <c r="A21" s="36" t="b">
        <v>0</v>
      </c>
      <c r="B21" s="177" t="s">
        <v>230</v>
      </c>
      <c r="C21" s="177"/>
      <c r="D21" s="177"/>
      <c r="E21" s="177"/>
      <c r="F21" s="177"/>
      <c r="G21" s="177"/>
      <c r="H21" s="177"/>
      <c r="I21" s="177"/>
      <c r="J21" s="177"/>
      <c r="K21" s="177"/>
      <c r="L21" s="124" t="s">
        <v>26</v>
      </c>
      <c r="M21" s="125"/>
      <c r="N21" s="125"/>
      <c r="O21" s="125"/>
      <c r="P21" s="125"/>
      <c r="Q21" s="125"/>
      <c r="R21" s="125"/>
      <c r="S21" s="125"/>
      <c r="T21" s="58"/>
    </row>
    <row r="22" spans="1:20" ht="12.75" customHeight="1" x14ac:dyDescent="0.2">
      <c r="A22" s="36" t="b">
        <v>0</v>
      </c>
      <c r="B22" s="177" t="s">
        <v>85</v>
      </c>
      <c r="C22" s="177"/>
      <c r="D22" s="177"/>
      <c r="E22" s="177"/>
      <c r="F22" s="177"/>
      <c r="G22" s="177"/>
      <c r="H22" s="177"/>
      <c r="I22" s="177"/>
      <c r="J22" s="177"/>
      <c r="K22" s="177"/>
      <c r="L22" s="124" t="s">
        <v>271</v>
      </c>
      <c r="M22" s="125"/>
      <c r="N22" s="125"/>
      <c r="O22" s="125"/>
      <c r="P22" s="125"/>
      <c r="Q22" s="125"/>
      <c r="R22" s="125"/>
      <c r="S22" s="125"/>
      <c r="T22" s="79"/>
    </row>
    <row r="23" spans="1:20" ht="13.5" customHeight="1" x14ac:dyDescent="0.2">
      <c r="A23" s="36" t="b">
        <v>0</v>
      </c>
      <c r="B23" s="177" t="s">
        <v>87</v>
      </c>
      <c r="C23" s="177"/>
      <c r="D23" s="177"/>
      <c r="E23" s="177"/>
      <c r="F23" s="177"/>
      <c r="G23" s="177"/>
      <c r="H23" s="177"/>
      <c r="I23" s="177"/>
      <c r="J23" s="177"/>
      <c r="K23" s="177"/>
      <c r="L23" s="217" t="s">
        <v>289</v>
      </c>
      <c r="M23" s="218"/>
      <c r="N23" s="218"/>
      <c r="O23" s="218"/>
      <c r="P23" s="218"/>
      <c r="Q23" s="218"/>
      <c r="R23" s="218"/>
      <c r="S23" s="218"/>
      <c r="T23" s="219"/>
    </row>
    <row r="24" spans="1:20" ht="13.5" customHeight="1" x14ac:dyDescent="0.2">
      <c r="A24" s="36" t="b">
        <v>0</v>
      </c>
      <c r="B24" s="177" t="s">
        <v>273</v>
      </c>
      <c r="C24" s="177"/>
      <c r="D24" s="177"/>
      <c r="E24" s="177"/>
      <c r="F24" s="177"/>
      <c r="G24" s="177"/>
      <c r="H24" s="177"/>
      <c r="I24" s="177"/>
      <c r="J24" s="177"/>
      <c r="K24" s="177"/>
      <c r="L24" s="190"/>
      <c r="M24" s="191"/>
      <c r="N24" s="191"/>
      <c r="O24" s="191"/>
      <c r="P24" s="191"/>
      <c r="Q24" s="191"/>
      <c r="R24" s="191"/>
      <c r="S24" s="191"/>
      <c r="T24" s="192"/>
    </row>
    <row r="25" spans="1:20" ht="12.75" customHeight="1" x14ac:dyDescent="0.2">
      <c r="A25" s="36" t="b">
        <v>0</v>
      </c>
      <c r="B25" s="177" t="s">
        <v>274</v>
      </c>
      <c r="C25" s="177"/>
      <c r="D25" s="177"/>
      <c r="E25" s="177"/>
      <c r="F25" s="177"/>
      <c r="G25" s="177"/>
      <c r="H25" s="177"/>
      <c r="I25" s="177"/>
      <c r="J25" s="177"/>
      <c r="K25" s="177"/>
      <c r="L25" s="201" t="s">
        <v>290</v>
      </c>
      <c r="M25" s="202"/>
      <c r="N25" s="202"/>
      <c r="O25" s="202"/>
      <c r="P25" s="202" t="s">
        <v>288</v>
      </c>
      <c r="Q25" s="202"/>
      <c r="R25" s="202"/>
      <c r="S25" s="202"/>
      <c r="T25" s="203"/>
    </row>
    <row r="26" spans="1:20" ht="13.5" customHeight="1" thickBot="1" x14ac:dyDescent="0.25">
      <c r="A26" s="36" t="b">
        <v>0</v>
      </c>
      <c r="B26" s="177" t="s">
        <v>231</v>
      </c>
      <c r="C26" s="177"/>
      <c r="D26" s="177"/>
      <c r="E26" s="177"/>
      <c r="F26" s="177"/>
      <c r="G26" s="177"/>
      <c r="H26" s="177"/>
      <c r="I26" s="177"/>
      <c r="J26" s="177"/>
      <c r="K26" s="177"/>
      <c r="L26" s="204"/>
      <c r="M26" s="205"/>
      <c r="N26" s="205"/>
      <c r="O26" s="205"/>
      <c r="P26" s="205"/>
      <c r="Q26" s="205"/>
      <c r="R26" s="205"/>
      <c r="S26" s="205"/>
      <c r="T26" s="206"/>
    </row>
    <row r="27" spans="1:20" ht="15" customHeight="1" x14ac:dyDescent="0.2">
      <c r="A27" s="36" t="b">
        <v>0</v>
      </c>
      <c r="B27" s="177" t="s">
        <v>232</v>
      </c>
      <c r="C27" s="177"/>
      <c r="D27" s="177"/>
      <c r="E27" s="177"/>
      <c r="F27" s="177"/>
      <c r="G27" s="177"/>
      <c r="H27" s="177"/>
      <c r="I27" s="177"/>
      <c r="J27" s="177"/>
      <c r="K27" s="178"/>
      <c r="L27" s="193" t="s">
        <v>92</v>
      </c>
      <c r="M27" s="193"/>
      <c r="N27" s="193"/>
      <c r="O27" s="193"/>
      <c r="P27" s="193"/>
      <c r="Q27" s="193"/>
      <c r="R27" s="193"/>
      <c r="S27" s="193"/>
      <c r="T27" s="194"/>
    </row>
    <row r="28" spans="1:20" ht="12.75" customHeight="1" x14ac:dyDescent="0.2">
      <c r="A28" s="36" t="b">
        <v>0</v>
      </c>
      <c r="B28" s="177" t="s">
        <v>233</v>
      </c>
      <c r="C28" s="177"/>
      <c r="D28" s="177"/>
      <c r="E28" s="177"/>
      <c r="F28" s="177"/>
      <c r="G28" s="177"/>
      <c r="H28" s="177"/>
      <c r="I28" s="177"/>
      <c r="J28" s="177"/>
      <c r="K28" s="178"/>
      <c r="L28" s="193"/>
      <c r="M28" s="193"/>
      <c r="N28" s="193"/>
      <c r="O28" s="193"/>
      <c r="P28" s="193"/>
      <c r="Q28" s="193"/>
      <c r="R28" s="193"/>
      <c r="S28" s="193"/>
      <c r="T28" s="194"/>
    </row>
    <row r="29" spans="1:20" ht="15" customHeight="1" x14ac:dyDescent="0.2">
      <c r="A29" s="36" t="b">
        <v>0</v>
      </c>
      <c r="B29" s="177" t="s">
        <v>283</v>
      </c>
      <c r="C29" s="177"/>
      <c r="D29" s="177"/>
      <c r="E29" s="177"/>
      <c r="F29" s="177"/>
      <c r="G29" s="177"/>
      <c r="H29" s="177"/>
      <c r="I29" s="177"/>
      <c r="J29" s="177"/>
      <c r="K29" s="178"/>
      <c r="L29" s="195" t="str">
        <f>IF(AND(Q42&gt;=0,Q42&lt;8),"LOW",IF(AND(Q42&gt;=8,Q42&lt;16),"MEDIUM",IF(Q42&gt;=16,"HIGH",)))</f>
        <v>LOW</v>
      </c>
      <c r="M29" s="195"/>
      <c r="N29" s="195"/>
      <c r="O29" s="195"/>
      <c r="P29" s="195"/>
      <c r="Q29" s="195"/>
      <c r="R29" s="195"/>
      <c r="S29" s="195"/>
      <c r="T29" s="196"/>
    </row>
    <row r="30" spans="1:20" ht="15.75" customHeight="1" thickBot="1" x14ac:dyDescent="0.25">
      <c r="A30" s="37" t="b">
        <v>0</v>
      </c>
      <c r="B30" s="159" t="s">
        <v>234</v>
      </c>
      <c r="C30" s="159"/>
      <c r="D30" s="159"/>
      <c r="E30" s="159"/>
      <c r="F30" s="159"/>
      <c r="G30" s="159"/>
      <c r="H30" s="159"/>
      <c r="I30" s="159"/>
      <c r="J30" s="159"/>
      <c r="K30" s="160"/>
      <c r="L30" s="197"/>
      <c r="M30" s="197"/>
      <c r="N30" s="197"/>
      <c r="O30" s="197"/>
      <c r="P30" s="197"/>
      <c r="Q30" s="197"/>
      <c r="R30" s="197"/>
      <c r="S30" s="197"/>
      <c r="T30" s="198"/>
    </row>
    <row r="31" spans="1:20" ht="12.75" customHeight="1" x14ac:dyDescent="0.2">
      <c r="A31" s="179" t="s">
        <v>94</v>
      </c>
      <c r="B31" s="180"/>
      <c r="C31" s="180"/>
      <c r="D31" s="180"/>
      <c r="E31" s="180"/>
      <c r="F31" s="180"/>
      <c r="G31" s="180"/>
      <c r="H31" s="180"/>
      <c r="I31" s="180"/>
      <c r="J31" s="180"/>
      <c r="K31" s="180"/>
      <c r="L31" s="181"/>
      <c r="M31" s="181"/>
      <c r="N31" s="181"/>
      <c r="O31" s="181"/>
      <c r="P31" s="181"/>
      <c r="Q31" s="181"/>
      <c r="R31" s="181"/>
      <c r="S31" s="181"/>
      <c r="T31" s="182"/>
    </row>
    <row r="32" spans="1:20" ht="12.75" customHeight="1" thickBot="1" x14ac:dyDescent="0.25">
      <c r="A32" s="179"/>
      <c r="B32" s="180"/>
      <c r="C32" s="180"/>
      <c r="D32" s="180"/>
      <c r="E32" s="180"/>
      <c r="F32" s="180"/>
      <c r="G32" s="180"/>
      <c r="H32" s="180"/>
      <c r="I32" s="180"/>
      <c r="J32" s="180"/>
      <c r="K32" s="180"/>
      <c r="L32" s="180"/>
      <c r="M32" s="180"/>
      <c r="N32" s="180"/>
      <c r="O32" s="180"/>
      <c r="P32" s="180"/>
      <c r="Q32" s="180"/>
      <c r="R32" s="180"/>
      <c r="S32" s="180"/>
      <c r="T32" s="183"/>
    </row>
    <row r="33" spans="1:20" ht="12.75" customHeight="1" x14ac:dyDescent="0.2">
      <c r="A33" s="184" t="str">
        <f>"I, "&amp;A4&amp;R42</f>
        <v>I, ,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v>
      </c>
      <c r="B33" s="185"/>
      <c r="C33" s="185"/>
      <c r="D33" s="185"/>
      <c r="E33" s="185"/>
      <c r="F33" s="185"/>
      <c r="G33" s="185"/>
      <c r="H33" s="185"/>
      <c r="I33" s="185"/>
      <c r="J33" s="185"/>
      <c r="K33" s="185"/>
      <c r="L33" s="185"/>
      <c r="M33" s="185"/>
      <c r="N33" s="185"/>
      <c r="O33" s="185"/>
      <c r="P33" s="185"/>
      <c r="Q33" s="185"/>
      <c r="R33" s="185"/>
      <c r="S33" s="185"/>
      <c r="T33" s="186"/>
    </row>
    <row r="34" spans="1:20" x14ac:dyDescent="0.2">
      <c r="A34" s="187"/>
      <c r="B34" s="188"/>
      <c r="C34" s="188"/>
      <c r="D34" s="188"/>
      <c r="E34" s="188"/>
      <c r="F34" s="188"/>
      <c r="G34" s="188"/>
      <c r="H34" s="188"/>
      <c r="I34" s="188"/>
      <c r="J34" s="188"/>
      <c r="K34" s="188"/>
      <c r="L34" s="188"/>
      <c r="M34" s="188"/>
      <c r="N34" s="188"/>
      <c r="O34" s="188"/>
      <c r="P34" s="188"/>
      <c r="Q34" s="188"/>
      <c r="R34" s="188"/>
      <c r="S34" s="188"/>
      <c r="T34" s="189"/>
    </row>
    <row r="35" spans="1:20" ht="13.5" customHeight="1" x14ac:dyDescent="0.2">
      <c r="A35" s="187"/>
      <c r="B35" s="188"/>
      <c r="C35" s="188"/>
      <c r="D35" s="188"/>
      <c r="E35" s="188"/>
      <c r="F35" s="188"/>
      <c r="G35" s="188"/>
      <c r="H35" s="188"/>
      <c r="I35" s="188"/>
      <c r="J35" s="188"/>
      <c r="K35" s="188"/>
      <c r="L35" s="188"/>
      <c r="M35" s="188"/>
      <c r="N35" s="188"/>
      <c r="O35" s="188"/>
      <c r="P35" s="188"/>
      <c r="Q35" s="188"/>
      <c r="R35" s="188"/>
      <c r="S35" s="188"/>
      <c r="T35" s="189"/>
    </row>
    <row r="36" spans="1:20" ht="12.75" customHeight="1" x14ac:dyDescent="0.2">
      <c r="A36" s="187"/>
      <c r="B36" s="188"/>
      <c r="C36" s="188"/>
      <c r="D36" s="188"/>
      <c r="E36" s="188"/>
      <c r="F36" s="188"/>
      <c r="G36" s="188"/>
      <c r="H36" s="188"/>
      <c r="I36" s="188"/>
      <c r="J36" s="188"/>
      <c r="K36" s="188"/>
      <c r="L36" s="188"/>
      <c r="M36" s="188"/>
      <c r="N36" s="188"/>
      <c r="O36" s="188"/>
      <c r="P36" s="188"/>
      <c r="Q36" s="188"/>
      <c r="R36" s="188"/>
      <c r="S36" s="188"/>
      <c r="T36" s="189"/>
    </row>
    <row r="37" spans="1:20" x14ac:dyDescent="0.2">
      <c r="A37" s="187"/>
      <c r="B37" s="188"/>
      <c r="C37" s="188"/>
      <c r="D37" s="188"/>
      <c r="E37" s="188"/>
      <c r="F37" s="188"/>
      <c r="G37" s="188"/>
      <c r="H37" s="188"/>
      <c r="I37" s="188"/>
      <c r="J37" s="188"/>
      <c r="K37" s="188"/>
      <c r="L37" s="188"/>
      <c r="M37" s="188"/>
      <c r="N37" s="188"/>
      <c r="O37" s="188"/>
      <c r="P37" s="188"/>
      <c r="Q37" s="188"/>
      <c r="R37" s="188"/>
      <c r="S37" s="188"/>
      <c r="T37" s="189"/>
    </row>
    <row r="38" spans="1:20" x14ac:dyDescent="0.2">
      <c r="A38" s="187"/>
      <c r="B38" s="188"/>
      <c r="C38" s="188"/>
      <c r="D38" s="188"/>
      <c r="E38" s="188"/>
      <c r="F38" s="188"/>
      <c r="G38" s="188"/>
      <c r="H38" s="188"/>
      <c r="I38" s="188"/>
      <c r="J38" s="188"/>
      <c r="K38" s="188"/>
      <c r="L38" s="188"/>
      <c r="M38" s="188"/>
      <c r="N38" s="188"/>
      <c r="O38" s="188"/>
      <c r="P38" s="188"/>
      <c r="Q38" s="188"/>
      <c r="R38" s="188"/>
      <c r="S38" s="188"/>
      <c r="T38" s="189"/>
    </row>
    <row r="39" spans="1:20" x14ac:dyDescent="0.2">
      <c r="A39" s="187"/>
      <c r="B39" s="188"/>
      <c r="C39" s="188"/>
      <c r="D39" s="188"/>
      <c r="E39" s="188"/>
      <c r="F39" s="188"/>
      <c r="G39" s="188"/>
      <c r="H39" s="188"/>
      <c r="I39" s="188"/>
      <c r="J39" s="188"/>
      <c r="K39" s="188"/>
      <c r="L39" s="188"/>
      <c r="M39" s="188"/>
      <c r="N39" s="188"/>
      <c r="O39" s="188"/>
      <c r="P39" s="188"/>
      <c r="Q39" s="188"/>
      <c r="R39" s="188"/>
      <c r="S39" s="188"/>
      <c r="T39" s="189"/>
    </row>
    <row r="40" spans="1:20" x14ac:dyDescent="0.2">
      <c r="A40" s="187"/>
      <c r="B40" s="188"/>
      <c r="C40" s="188"/>
      <c r="D40" s="188"/>
      <c r="E40" s="188"/>
      <c r="F40" s="188"/>
      <c r="G40" s="188"/>
      <c r="H40" s="188"/>
      <c r="I40" s="188"/>
      <c r="J40" s="188"/>
      <c r="K40" s="188"/>
      <c r="L40" s="188"/>
      <c r="M40" s="188"/>
      <c r="N40" s="188"/>
      <c r="O40" s="188"/>
      <c r="P40" s="188"/>
      <c r="Q40" s="188"/>
      <c r="R40" s="188"/>
      <c r="S40" s="188"/>
      <c r="T40" s="189"/>
    </row>
    <row r="41" spans="1:20" ht="15.75" customHeight="1" x14ac:dyDescent="0.2">
      <c r="A41" s="26">
        <f>SUMPRODUCT(LEN(L7)-LEN(SUBSTITUTE(L7,{1,2,3,4,5,6,7,8,9,0},"")))</f>
        <v>0</v>
      </c>
      <c r="B41" s="24">
        <f>SUMPRODUCT(LEN(P7)-LEN(SUBSTITUTE(P7,{1,2,3,4,5,6,7,8,9,0},"")))</f>
        <v>0</v>
      </c>
      <c r="C41" s="288" t="s">
        <v>304</v>
      </c>
      <c r="D41" s="288"/>
      <c r="E41" s="289"/>
      <c r="F41" s="289"/>
      <c r="G41" s="289"/>
      <c r="H41" s="289"/>
      <c r="I41" s="289"/>
      <c r="J41" s="289"/>
      <c r="K41" s="22"/>
      <c r="L41" s="60" t="s">
        <v>305</v>
      </c>
      <c r="M41" s="290"/>
      <c r="N41" s="289"/>
      <c r="O41" s="289"/>
      <c r="P41" s="22"/>
      <c r="Q41" s="22"/>
      <c r="R41" s="22"/>
      <c r="S41" s="22"/>
      <c r="T41" s="23"/>
    </row>
    <row r="42" spans="1:20" x14ac:dyDescent="0.2">
      <c r="A42" s="26">
        <f>IF(A14=TRUE, 1, 0)</f>
        <v>0</v>
      </c>
      <c r="B42" s="24">
        <f>IF(A15=TRUE, 1, 0)</f>
        <v>0</v>
      </c>
      <c r="C42" s="24">
        <f>IF(A16=TRUE, 1, 0)</f>
        <v>0</v>
      </c>
      <c r="D42" s="24">
        <f>IF(A17=TRUE, 1, 0)</f>
        <v>0</v>
      </c>
      <c r="E42" s="24">
        <f>IF(A18=TRUE, 1, 0)</f>
        <v>0</v>
      </c>
      <c r="F42" s="24">
        <f>IF(A20=TRUE, 2, 0)</f>
        <v>0</v>
      </c>
      <c r="G42" s="24">
        <f>IF(A21=TRUE, 1, 0)</f>
        <v>0</v>
      </c>
      <c r="H42" s="24">
        <f>IF(A22=TRUE, 1, 0)</f>
        <v>0</v>
      </c>
      <c r="I42" s="24">
        <f>IF(A23=TRUE, 4, 0)</f>
        <v>0</v>
      </c>
      <c r="J42" s="24">
        <f>IF(A24=TRUE, 2, 0)</f>
        <v>0</v>
      </c>
      <c r="K42" s="24">
        <f>IF(A25=TRUE, 1, 0)</f>
        <v>0</v>
      </c>
      <c r="L42" s="24">
        <f>IF(A26=TRUE, 1, 0)</f>
        <v>0</v>
      </c>
      <c r="M42" s="24">
        <f>IF(A27=TRUE, 2, 0)</f>
        <v>0</v>
      </c>
      <c r="N42" s="24">
        <f>IF(A28=TRUE, 3, 0)</f>
        <v>0</v>
      </c>
      <c r="O42" s="24">
        <f>IF(A29=TRUE, 1, 0)</f>
        <v>0</v>
      </c>
      <c r="P42" s="24">
        <f>IF(A30=TRUE, 16, 0)</f>
        <v>0</v>
      </c>
      <c r="Q42" s="25">
        <f>SUM(A42:P42)</f>
        <v>0</v>
      </c>
      <c r="R42" s="25" t="s">
        <v>95</v>
      </c>
      <c r="S42" s="25" t="s">
        <v>270</v>
      </c>
      <c r="T42" s="27">
        <f ca="1">TODAY()</f>
        <v>43858</v>
      </c>
    </row>
    <row r="43" spans="1:20" ht="15" customHeight="1" x14ac:dyDescent="0.2">
      <c r="A43" s="187" t="str">
        <f>"I, "&amp;O10&amp;" "&amp;Q10&amp;S42</f>
        <v>I,  ,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v>
      </c>
      <c r="B43" s="188"/>
      <c r="C43" s="188"/>
      <c r="D43" s="188"/>
      <c r="E43" s="188"/>
      <c r="F43" s="188"/>
      <c r="G43" s="188"/>
      <c r="H43" s="188"/>
      <c r="I43" s="188"/>
      <c r="J43" s="188"/>
      <c r="K43" s="188"/>
      <c r="L43" s="188"/>
      <c r="M43" s="188"/>
      <c r="N43" s="188"/>
      <c r="O43" s="188"/>
      <c r="P43" s="188"/>
      <c r="Q43" s="188"/>
      <c r="R43" s="188"/>
      <c r="S43" s="188"/>
      <c r="T43" s="189"/>
    </row>
    <row r="44" spans="1:20" x14ac:dyDescent="0.2">
      <c r="A44" s="187"/>
      <c r="B44" s="188"/>
      <c r="C44" s="188"/>
      <c r="D44" s="188"/>
      <c r="E44" s="188"/>
      <c r="F44" s="188"/>
      <c r="G44" s="188"/>
      <c r="H44" s="188"/>
      <c r="I44" s="188"/>
      <c r="J44" s="188"/>
      <c r="K44" s="188"/>
      <c r="L44" s="188"/>
      <c r="M44" s="188"/>
      <c r="N44" s="188"/>
      <c r="O44" s="188"/>
      <c r="P44" s="188"/>
      <c r="Q44" s="188"/>
      <c r="R44" s="188"/>
      <c r="S44" s="188"/>
      <c r="T44" s="189"/>
    </row>
    <row r="45" spans="1:20" x14ac:dyDescent="0.2">
      <c r="A45" s="187"/>
      <c r="B45" s="188"/>
      <c r="C45" s="188"/>
      <c r="D45" s="188"/>
      <c r="E45" s="188"/>
      <c r="F45" s="188"/>
      <c r="G45" s="188"/>
      <c r="H45" s="188"/>
      <c r="I45" s="188"/>
      <c r="J45" s="188"/>
      <c r="K45" s="188"/>
      <c r="L45" s="188"/>
      <c r="M45" s="188"/>
      <c r="N45" s="188"/>
      <c r="O45" s="188"/>
      <c r="P45" s="188"/>
      <c r="Q45" s="188"/>
      <c r="R45" s="188"/>
      <c r="S45" s="188"/>
      <c r="T45" s="189"/>
    </row>
    <row r="46" spans="1:20" x14ac:dyDescent="0.2">
      <c r="A46" s="187"/>
      <c r="B46" s="188"/>
      <c r="C46" s="188"/>
      <c r="D46" s="188"/>
      <c r="E46" s="188"/>
      <c r="F46" s="188"/>
      <c r="G46" s="188"/>
      <c r="H46" s="188"/>
      <c r="I46" s="188"/>
      <c r="J46" s="188"/>
      <c r="K46" s="188"/>
      <c r="L46" s="188"/>
      <c r="M46" s="188"/>
      <c r="N46" s="188"/>
      <c r="O46" s="188"/>
      <c r="P46" s="188"/>
      <c r="Q46" s="188"/>
      <c r="R46" s="188"/>
      <c r="S46" s="188"/>
      <c r="T46" s="189"/>
    </row>
    <row r="47" spans="1:20" ht="15.75" customHeight="1" x14ac:dyDescent="0.2">
      <c r="A47" s="74"/>
      <c r="B47" s="22"/>
      <c r="C47" s="288" t="s">
        <v>304</v>
      </c>
      <c r="D47" s="288"/>
      <c r="E47" s="289"/>
      <c r="F47" s="289"/>
      <c r="G47" s="289"/>
      <c r="H47" s="289"/>
      <c r="I47" s="289"/>
      <c r="J47" s="289"/>
      <c r="K47" s="22"/>
      <c r="L47" s="60" t="s">
        <v>305</v>
      </c>
      <c r="M47" s="290"/>
      <c r="N47" s="289"/>
      <c r="O47" s="289"/>
      <c r="P47" s="22"/>
      <c r="Q47" s="22"/>
      <c r="R47" s="22"/>
      <c r="S47" s="22"/>
      <c r="T47" s="23"/>
    </row>
    <row r="48" spans="1:20" ht="15.75" customHeight="1" thickBot="1" x14ac:dyDescent="0.25">
      <c r="A48" s="21"/>
      <c r="B48" s="19"/>
      <c r="C48" s="75"/>
      <c r="D48" s="75"/>
      <c r="E48" s="76"/>
      <c r="F48" s="76"/>
      <c r="G48" s="76"/>
      <c r="H48" s="76"/>
      <c r="I48" s="76"/>
      <c r="J48" s="76"/>
      <c r="K48" s="19"/>
      <c r="L48" s="73"/>
      <c r="M48" s="77"/>
      <c r="N48" s="76"/>
      <c r="O48" s="76"/>
      <c r="P48" s="19"/>
      <c r="Q48" s="19"/>
      <c r="R48" s="19"/>
      <c r="S48" s="19"/>
      <c r="T48" s="20"/>
    </row>
    <row r="49" spans="1:20" ht="15" hidden="1" customHeight="1" x14ac:dyDescent="0.2">
      <c r="A49" s="316" t="s">
        <v>93</v>
      </c>
      <c r="B49" s="317"/>
      <c r="C49" s="317"/>
      <c r="D49" s="317"/>
      <c r="E49" s="317"/>
      <c r="F49" s="317"/>
      <c r="G49" s="317"/>
      <c r="H49" s="317"/>
      <c r="I49" s="317"/>
      <c r="J49" s="317"/>
      <c r="K49" s="317"/>
      <c r="L49" s="317"/>
      <c r="M49" s="317"/>
      <c r="N49" s="317"/>
      <c r="O49" s="317"/>
      <c r="P49" s="317"/>
      <c r="Q49" s="317"/>
      <c r="R49" s="317"/>
      <c r="S49" s="317"/>
      <c r="T49" s="318"/>
    </row>
    <row r="50" spans="1:20" ht="15.75" hidden="1" customHeight="1" thickBot="1" x14ac:dyDescent="0.25">
      <c r="A50" s="171"/>
      <c r="B50" s="172"/>
      <c r="C50" s="172"/>
      <c r="D50" s="172"/>
      <c r="E50" s="172"/>
      <c r="F50" s="172"/>
      <c r="G50" s="172"/>
      <c r="H50" s="172"/>
      <c r="I50" s="172"/>
      <c r="J50" s="172"/>
      <c r="K50" s="172"/>
      <c r="L50" s="172"/>
      <c r="M50" s="172"/>
      <c r="N50" s="172"/>
      <c r="O50" s="172"/>
      <c r="P50" s="172"/>
      <c r="Q50" s="172"/>
      <c r="R50" s="172"/>
      <c r="S50" s="172"/>
      <c r="T50" s="173"/>
    </row>
    <row r="51" spans="1:20" ht="13.5" hidden="1" customHeight="1" thickBot="1" x14ac:dyDescent="0.25">
      <c r="A51" s="161" t="s">
        <v>65</v>
      </c>
      <c r="B51" s="162"/>
      <c r="C51" s="162"/>
      <c r="D51" s="162"/>
      <c r="E51" s="163"/>
      <c r="F51" s="161" t="s">
        <v>64</v>
      </c>
      <c r="G51" s="162"/>
      <c r="H51" s="162"/>
      <c r="I51" s="162"/>
      <c r="J51" s="163"/>
      <c r="K51" s="161" t="s">
        <v>8</v>
      </c>
      <c r="L51" s="162"/>
      <c r="M51" s="162"/>
      <c r="N51" s="162"/>
      <c r="O51" s="163"/>
      <c r="P51" s="161" t="s">
        <v>9</v>
      </c>
      <c r="Q51" s="162"/>
      <c r="R51" s="162"/>
      <c r="S51" s="162"/>
      <c r="T51" s="163"/>
    </row>
    <row r="52" spans="1:20" hidden="1" x14ac:dyDescent="0.2">
      <c r="A52" s="164"/>
      <c r="B52" s="149"/>
      <c r="C52" s="149"/>
      <c r="D52" s="149"/>
      <c r="E52" s="150"/>
      <c r="F52" s="111" t="s">
        <v>71</v>
      </c>
      <c r="G52" s="112"/>
      <c r="H52" s="149"/>
      <c r="I52" s="149"/>
      <c r="J52" s="150"/>
      <c r="K52" s="111" t="s">
        <v>71</v>
      </c>
      <c r="L52" s="112"/>
      <c r="M52" s="149"/>
      <c r="N52" s="149"/>
      <c r="O52" s="150"/>
      <c r="P52" s="111" t="s">
        <v>73</v>
      </c>
      <c r="Q52" s="112"/>
      <c r="R52" s="286" t="s">
        <v>287</v>
      </c>
      <c r="S52" s="286"/>
      <c r="T52" s="287"/>
    </row>
    <row r="53" spans="1:20" ht="13.5" hidden="1" thickBot="1" x14ac:dyDescent="0.25">
      <c r="A53" s="165"/>
      <c r="B53" s="166"/>
      <c r="C53" s="166"/>
      <c r="D53" s="166"/>
      <c r="E53" s="167"/>
      <c r="F53" s="153" t="s">
        <v>72</v>
      </c>
      <c r="G53" s="154"/>
      <c r="H53" s="151"/>
      <c r="I53" s="151"/>
      <c r="J53" s="152"/>
      <c r="K53" s="153" t="s">
        <v>72</v>
      </c>
      <c r="L53" s="154"/>
      <c r="M53" s="151"/>
      <c r="N53" s="151"/>
      <c r="O53" s="152"/>
      <c r="P53" s="153" t="s">
        <v>74</v>
      </c>
      <c r="Q53" s="154"/>
      <c r="R53" s="157" t="s">
        <v>287</v>
      </c>
      <c r="S53" s="157"/>
      <c r="T53" s="158"/>
    </row>
    <row r="54" spans="1:20" ht="13.5" hidden="1" thickBot="1" x14ac:dyDescent="0.25">
      <c r="A54" s="137" t="s">
        <v>67</v>
      </c>
      <c r="B54" s="138"/>
      <c r="C54" s="138"/>
      <c r="D54" s="139"/>
      <c r="E54" s="140"/>
      <c r="F54" s="141"/>
      <c r="G54" s="142"/>
      <c r="H54" s="133" t="s">
        <v>68</v>
      </c>
      <c r="I54" s="134"/>
      <c r="J54" s="134"/>
      <c r="K54" s="134"/>
      <c r="L54" s="134"/>
      <c r="M54" s="134"/>
      <c r="N54" s="135"/>
      <c r="O54" s="133" t="s">
        <v>69</v>
      </c>
      <c r="P54" s="134"/>
      <c r="Q54" s="135"/>
      <c r="R54" s="133" t="s">
        <v>70</v>
      </c>
      <c r="S54" s="134"/>
      <c r="T54" s="135"/>
    </row>
    <row r="55" spans="1:20" ht="13.5" hidden="1" thickBot="1" x14ac:dyDescent="0.25">
      <c r="A55" s="137" t="s">
        <v>66</v>
      </c>
      <c r="B55" s="138"/>
      <c r="C55" s="138"/>
      <c r="D55" s="139"/>
      <c r="E55" s="140"/>
      <c r="F55" s="141"/>
      <c r="G55" s="142"/>
      <c r="H55" s="143"/>
      <c r="I55" s="144"/>
      <c r="J55" s="144"/>
      <c r="K55" s="144"/>
      <c r="L55" s="144"/>
      <c r="M55" s="144"/>
      <c r="N55" s="145"/>
      <c r="O55" s="143"/>
      <c r="P55" s="144"/>
      <c r="Q55" s="145"/>
      <c r="R55" s="143"/>
      <c r="S55" s="144"/>
      <c r="T55" s="145"/>
    </row>
    <row r="56" spans="1:20" ht="5.0999999999999996" hidden="1" customHeight="1" thickBot="1" x14ac:dyDescent="0.25">
      <c r="A56" s="16"/>
      <c r="B56" s="17"/>
      <c r="C56" s="17"/>
      <c r="D56" s="17"/>
      <c r="E56" s="17"/>
      <c r="F56" s="17"/>
      <c r="G56" s="17"/>
      <c r="H56" s="17"/>
      <c r="I56" s="17"/>
      <c r="J56" s="17"/>
      <c r="K56" s="17"/>
      <c r="L56" s="17"/>
      <c r="M56" s="17"/>
      <c r="N56" s="17"/>
      <c r="O56" s="17"/>
      <c r="P56" s="17"/>
      <c r="Q56" s="17"/>
      <c r="R56" s="17"/>
      <c r="S56" s="17"/>
      <c r="T56" s="18"/>
    </row>
    <row r="57" spans="1:20" ht="13.5" hidden="1" thickBot="1" x14ac:dyDescent="0.25">
      <c r="A57" s="133" t="s">
        <v>77</v>
      </c>
      <c r="B57" s="134"/>
      <c r="C57" s="134"/>
      <c r="D57" s="135"/>
      <c r="E57" s="47" t="s">
        <v>75</v>
      </c>
      <c r="F57" s="47" t="s">
        <v>76</v>
      </c>
      <c r="G57" s="13"/>
      <c r="H57" s="133" t="s">
        <v>77</v>
      </c>
      <c r="I57" s="134"/>
      <c r="J57" s="134"/>
      <c r="K57" s="135"/>
      <c r="L57" s="47" t="s">
        <v>75</v>
      </c>
      <c r="M57" s="47" t="s">
        <v>76</v>
      </c>
      <c r="N57" s="13"/>
      <c r="O57" s="133" t="s">
        <v>77</v>
      </c>
      <c r="P57" s="134"/>
      <c r="Q57" s="134"/>
      <c r="R57" s="135"/>
      <c r="S57" s="47" t="s">
        <v>75</v>
      </c>
      <c r="T57" s="47" t="s">
        <v>76</v>
      </c>
    </row>
    <row r="58" spans="1:20" hidden="1" x14ac:dyDescent="0.2">
      <c r="A58" s="111" t="s">
        <v>15</v>
      </c>
      <c r="B58" s="112"/>
      <c r="C58" s="112"/>
      <c r="D58" s="136"/>
      <c r="E58" s="48"/>
      <c r="F58" s="49"/>
      <c r="G58" s="14"/>
      <c r="H58" s="111" t="s">
        <v>11</v>
      </c>
      <c r="I58" s="112"/>
      <c r="J58" s="112"/>
      <c r="K58" s="136"/>
      <c r="L58" s="48"/>
      <c r="M58" s="49"/>
      <c r="N58" s="13"/>
      <c r="O58" s="111" t="s">
        <v>17</v>
      </c>
      <c r="P58" s="112"/>
      <c r="Q58" s="112"/>
      <c r="R58" s="136"/>
      <c r="S58" s="48"/>
      <c r="T58" s="49"/>
    </row>
    <row r="59" spans="1:20" hidden="1" x14ac:dyDescent="0.2">
      <c r="A59" s="124" t="s">
        <v>78</v>
      </c>
      <c r="B59" s="125"/>
      <c r="C59" s="125"/>
      <c r="D59" s="126"/>
      <c r="E59" s="50"/>
      <c r="F59" s="51"/>
      <c r="G59" s="14"/>
      <c r="H59" s="124" t="s">
        <v>19</v>
      </c>
      <c r="I59" s="125"/>
      <c r="J59" s="125"/>
      <c r="K59" s="126"/>
      <c r="L59" s="50"/>
      <c r="M59" s="51"/>
      <c r="N59" s="13"/>
      <c r="O59" s="124" t="s">
        <v>12</v>
      </c>
      <c r="P59" s="125"/>
      <c r="Q59" s="125"/>
      <c r="R59" s="126"/>
      <c r="S59" s="50"/>
      <c r="T59" s="51"/>
    </row>
    <row r="60" spans="1:20" hidden="1" x14ac:dyDescent="0.2">
      <c r="A60" s="124" t="s">
        <v>82</v>
      </c>
      <c r="B60" s="125"/>
      <c r="C60" s="125"/>
      <c r="D60" s="126"/>
      <c r="E60" s="50"/>
      <c r="F60" s="51"/>
      <c r="G60" s="14"/>
      <c r="H60" s="124" t="s">
        <v>79</v>
      </c>
      <c r="I60" s="125"/>
      <c r="J60" s="125"/>
      <c r="K60" s="126"/>
      <c r="L60" s="50"/>
      <c r="M60" s="51"/>
      <c r="N60" s="13"/>
      <c r="O60" s="124" t="s">
        <v>13</v>
      </c>
      <c r="P60" s="125"/>
      <c r="Q60" s="125"/>
      <c r="R60" s="126"/>
      <c r="S60" s="50"/>
      <c r="T60" s="51"/>
    </row>
    <row r="61" spans="1:20" hidden="1" x14ac:dyDescent="0.2">
      <c r="A61" s="124" t="s">
        <v>81</v>
      </c>
      <c r="B61" s="125"/>
      <c r="C61" s="125"/>
      <c r="D61" s="126"/>
      <c r="E61" s="50"/>
      <c r="F61" s="51"/>
      <c r="G61" s="14"/>
      <c r="H61" s="124" t="s">
        <v>18</v>
      </c>
      <c r="I61" s="125"/>
      <c r="J61" s="125"/>
      <c r="K61" s="126"/>
      <c r="L61" s="50"/>
      <c r="M61" s="51"/>
      <c r="N61" s="13"/>
      <c r="O61" s="124" t="s">
        <v>21</v>
      </c>
      <c r="P61" s="125"/>
      <c r="Q61" s="125"/>
      <c r="R61" s="126"/>
      <c r="S61" s="50"/>
      <c r="T61" s="51"/>
    </row>
    <row r="62" spans="1:20" hidden="1" x14ac:dyDescent="0.2">
      <c r="A62" s="124" t="s">
        <v>80</v>
      </c>
      <c r="B62" s="125"/>
      <c r="C62" s="125"/>
      <c r="D62" s="126"/>
      <c r="E62" s="50"/>
      <c r="F62" s="51"/>
      <c r="G62" s="14"/>
      <c r="H62" s="124" t="s">
        <v>16</v>
      </c>
      <c r="I62" s="125"/>
      <c r="J62" s="125"/>
      <c r="K62" s="126"/>
      <c r="L62" s="50"/>
      <c r="M62" s="51"/>
      <c r="N62" s="13"/>
      <c r="O62" s="124" t="s">
        <v>14</v>
      </c>
      <c r="P62" s="125"/>
      <c r="Q62" s="125"/>
      <c r="R62" s="126"/>
      <c r="S62" s="50"/>
      <c r="T62" s="51"/>
    </row>
    <row r="63" spans="1:20" ht="13.5" hidden="1" thickBot="1" x14ac:dyDescent="0.25">
      <c r="A63" s="129" t="s">
        <v>83</v>
      </c>
      <c r="B63" s="130"/>
      <c r="C63" s="130"/>
      <c r="D63" s="131"/>
      <c r="E63" s="52"/>
      <c r="F63" s="53"/>
      <c r="G63" s="15"/>
      <c r="H63" s="129" t="s">
        <v>20</v>
      </c>
      <c r="I63" s="130"/>
      <c r="J63" s="130"/>
      <c r="K63" s="131"/>
      <c r="L63" s="52"/>
      <c r="M63" s="53"/>
      <c r="N63" s="15"/>
      <c r="O63" s="129" t="s">
        <v>22</v>
      </c>
      <c r="P63" s="130"/>
      <c r="Q63" s="130"/>
      <c r="R63" s="131"/>
      <c r="S63" s="52"/>
      <c r="T63" s="53"/>
    </row>
    <row r="64" spans="1:20" ht="15" hidden="1" customHeight="1" x14ac:dyDescent="0.2">
      <c r="A64" s="168" t="s">
        <v>225</v>
      </c>
      <c r="B64" s="169"/>
      <c r="C64" s="169"/>
      <c r="D64" s="169"/>
      <c r="E64" s="169"/>
      <c r="F64" s="169"/>
      <c r="G64" s="169"/>
      <c r="H64" s="169"/>
      <c r="I64" s="169"/>
      <c r="J64" s="169"/>
      <c r="K64" s="169"/>
      <c r="L64" s="169"/>
      <c r="M64" s="169"/>
      <c r="N64" s="169"/>
      <c r="O64" s="169"/>
      <c r="P64" s="169"/>
      <c r="Q64" s="169"/>
      <c r="R64" s="169"/>
      <c r="S64" s="169"/>
      <c r="T64" s="170"/>
    </row>
    <row r="65" spans="1:21" ht="15.75" hidden="1" customHeight="1" thickBot="1" x14ac:dyDescent="0.25">
      <c r="A65" s="171"/>
      <c r="B65" s="172"/>
      <c r="C65" s="172"/>
      <c r="D65" s="172"/>
      <c r="E65" s="172"/>
      <c r="F65" s="172"/>
      <c r="G65" s="172"/>
      <c r="H65" s="172"/>
      <c r="I65" s="172"/>
      <c r="J65" s="172"/>
      <c r="K65" s="172"/>
      <c r="L65" s="172"/>
      <c r="M65" s="172"/>
      <c r="N65" s="172"/>
      <c r="O65" s="172"/>
      <c r="P65" s="172"/>
      <c r="Q65" s="172"/>
      <c r="R65" s="172"/>
      <c r="S65" s="172"/>
      <c r="T65" s="173"/>
    </row>
    <row r="66" spans="1:21" ht="13.5" hidden="1" customHeight="1" thickBot="1" x14ac:dyDescent="0.25">
      <c r="A66" s="174" t="s">
        <v>226</v>
      </c>
      <c r="B66" s="175"/>
      <c r="C66" s="175"/>
      <c r="D66" s="175"/>
      <c r="E66" s="176"/>
      <c r="F66" s="161" t="s">
        <v>64</v>
      </c>
      <c r="G66" s="162"/>
      <c r="H66" s="162"/>
      <c r="I66" s="162"/>
      <c r="J66" s="163"/>
      <c r="K66" s="161" t="s">
        <v>8</v>
      </c>
      <c r="L66" s="162"/>
      <c r="M66" s="162"/>
      <c r="N66" s="162"/>
      <c r="O66" s="163"/>
      <c r="P66" s="161" t="s">
        <v>9</v>
      </c>
      <c r="Q66" s="162"/>
      <c r="R66" s="162"/>
      <c r="S66" s="162"/>
      <c r="T66" s="163"/>
    </row>
    <row r="67" spans="1:21" hidden="1" x14ac:dyDescent="0.2">
      <c r="A67" s="164"/>
      <c r="B67" s="149"/>
      <c r="C67" s="149"/>
      <c r="D67" s="149"/>
      <c r="E67" s="150"/>
      <c r="F67" s="111" t="s">
        <v>71</v>
      </c>
      <c r="G67" s="112"/>
      <c r="H67" s="149"/>
      <c r="I67" s="149"/>
      <c r="J67" s="150"/>
      <c r="K67" s="111" t="s">
        <v>71</v>
      </c>
      <c r="L67" s="112"/>
      <c r="M67" s="149"/>
      <c r="N67" s="149"/>
      <c r="O67" s="150"/>
      <c r="P67" s="111" t="s">
        <v>73</v>
      </c>
      <c r="Q67" s="112"/>
      <c r="R67" s="155" t="s">
        <v>287</v>
      </c>
      <c r="S67" s="155"/>
      <c r="T67" s="156"/>
    </row>
    <row r="68" spans="1:21" ht="13.5" hidden="1" thickBot="1" x14ac:dyDescent="0.25">
      <c r="A68" s="165"/>
      <c r="B68" s="166"/>
      <c r="C68" s="166"/>
      <c r="D68" s="166"/>
      <c r="E68" s="167"/>
      <c r="F68" s="153" t="s">
        <v>72</v>
      </c>
      <c r="G68" s="154"/>
      <c r="H68" s="151"/>
      <c r="I68" s="151"/>
      <c r="J68" s="152"/>
      <c r="K68" s="153" t="s">
        <v>72</v>
      </c>
      <c r="L68" s="154"/>
      <c r="M68" s="151"/>
      <c r="N68" s="151"/>
      <c r="O68" s="152"/>
      <c r="P68" s="153" t="s">
        <v>74</v>
      </c>
      <c r="Q68" s="154"/>
      <c r="R68" s="157" t="s">
        <v>287</v>
      </c>
      <c r="S68" s="157"/>
      <c r="T68" s="158"/>
    </row>
    <row r="69" spans="1:21" ht="15.75" hidden="1" customHeight="1" thickBot="1" x14ac:dyDescent="0.25">
      <c r="A69" s="137" t="s">
        <v>67</v>
      </c>
      <c r="B69" s="138"/>
      <c r="C69" s="138"/>
      <c r="D69" s="139"/>
      <c r="E69" s="140"/>
      <c r="F69" s="141"/>
      <c r="G69" s="142"/>
      <c r="H69" s="133" t="s">
        <v>68</v>
      </c>
      <c r="I69" s="134"/>
      <c r="J69" s="134"/>
      <c r="K69" s="134"/>
      <c r="L69" s="134"/>
      <c r="M69" s="134"/>
      <c r="N69" s="135"/>
      <c r="O69" s="121" t="s">
        <v>69</v>
      </c>
      <c r="P69" s="122"/>
      <c r="Q69" s="122"/>
      <c r="R69" s="122"/>
      <c r="S69" s="122"/>
      <c r="T69" s="123"/>
    </row>
    <row r="70" spans="1:21" ht="15.75" hidden="1" customHeight="1" thickBot="1" x14ac:dyDescent="0.25">
      <c r="A70" s="137" t="s">
        <v>66</v>
      </c>
      <c r="B70" s="138"/>
      <c r="C70" s="138"/>
      <c r="D70" s="139"/>
      <c r="E70" s="140"/>
      <c r="F70" s="141"/>
      <c r="G70" s="142"/>
      <c r="H70" s="143"/>
      <c r="I70" s="144"/>
      <c r="J70" s="144"/>
      <c r="K70" s="144"/>
      <c r="L70" s="144"/>
      <c r="M70" s="144"/>
      <c r="N70" s="145"/>
      <c r="O70" s="118"/>
      <c r="P70" s="119"/>
      <c r="Q70" s="119"/>
      <c r="R70" s="119"/>
      <c r="S70" s="119"/>
      <c r="T70" s="120"/>
    </row>
    <row r="71" spans="1:21" ht="5.0999999999999996" hidden="1" customHeight="1" thickBot="1" x14ac:dyDescent="0.25">
      <c r="A71" s="28"/>
      <c r="B71" s="29"/>
      <c r="C71" s="29"/>
      <c r="D71" s="29"/>
      <c r="E71" s="29"/>
      <c r="F71" s="29"/>
      <c r="G71" s="29"/>
      <c r="H71" s="29"/>
      <c r="I71" s="29"/>
      <c r="J71" s="29"/>
      <c r="K71" s="29"/>
      <c r="L71" s="29"/>
      <c r="M71" s="29"/>
      <c r="N71" s="29"/>
      <c r="O71" s="29"/>
      <c r="P71" s="29"/>
      <c r="Q71" s="29"/>
      <c r="R71" s="29"/>
      <c r="S71" s="29"/>
      <c r="T71" s="30"/>
    </row>
    <row r="72" spans="1:21" ht="13.5" hidden="1" thickBot="1" x14ac:dyDescent="0.25">
      <c r="A72" s="133" t="s">
        <v>77</v>
      </c>
      <c r="B72" s="134"/>
      <c r="C72" s="134"/>
      <c r="D72" s="135"/>
      <c r="E72" s="47" t="s">
        <v>75</v>
      </c>
      <c r="F72" s="47" t="s">
        <v>76</v>
      </c>
      <c r="G72" s="13"/>
      <c r="H72" s="133" t="s">
        <v>77</v>
      </c>
      <c r="I72" s="134"/>
      <c r="J72" s="134"/>
      <c r="K72" s="135"/>
      <c r="L72" s="47" t="s">
        <v>75</v>
      </c>
      <c r="M72" s="47" t="s">
        <v>76</v>
      </c>
      <c r="N72" s="13"/>
      <c r="O72" s="133" t="s">
        <v>77</v>
      </c>
      <c r="P72" s="134"/>
      <c r="Q72" s="134"/>
      <c r="R72" s="135"/>
      <c r="S72" s="47" t="s">
        <v>75</v>
      </c>
      <c r="T72" s="47" t="s">
        <v>76</v>
      </c>
    </row>
    <row r="73" spans="1:21" hidden="1" x14ac:dyDescent="0.2">
      <c r="A73" s="111" t="s">
        <v>15</v>
      </c>
      <c r="B73" s="112"/>
      <c r="C73" s="112"/>
      <c r="D73" s="136"/>
      <c r="E73" s="48"/>
      <c r="F73" s="49"/>
      <c r="G73" s="14"/>
      <c r="H73" s="111" t="s">
        <v>11</v>
      </c>
      <c r="I73" s="112"/>
      <c r="J73" s="112"/>
      <c r="K73" s="136"/>
      <c r="L73" s="48"/>
      <c r="M73" s="49"/>
      <c r="N73" s="14"/>
      <c r="O73" s="146" t="s">
        <v>13</v>
      </c>
      <c r="P73" s="147"/>
      <c r="Q73" s="147"/>
      <c r="R73" s="147"/>
      <c r="S73" s="48"/>
      <c r="T73" s="49"/>
    </row>
    <row r="74" spans="1:21" hidden="1" x14ac:dyDescent="0.2">
      <c r="A74" s="124" t="s">
        <v>78</v>
      </c>
      <c r="B74" s="125"/>
      <c r="C74" s="125"/>
      <c r="D74" s="126"/>
      <c r="E74" s="50"/>
      <c r="F74" s="51"/>
      <c r="G74" s="14"/>
      <c r="H74" s="124" t="s">
        <v>19</v>
      </c>
      <c r="I74" s="125"/>
      <c r="J74" s="125"/>
      <c r="K74" s="126"/>
      <c r="L74" s="50"/>
      <c r="M74" s="51"/>
      <c r="N74" s="14"/>
      <c r="O74" s="124" t="s">
        <v>21</v>
      </c>
      <c r="P74" s="125"/>
      <c r="Q74" s="125"/>
      <c r="R74" s="126"/>
      <c r="S74" s="50"/>
      <c r="T74" s="51"/>
    </row>
    <row r="75" spans="1:21" ht="13.5" hidden="1" thickBot="1" x14ac:dyDescent="0.25">
      <c r="A75" s="124" t="s">
        <v>80</v>
      </c>
      <c r="B75" s="125"/>
      <c r="C75" s="125"/>
      <c r="D75" s="126"/>
      <c r="E75" s="50"/>
      <c r="F75" s="51"/>
      <c r="G75" s="14"/>
      <c r="H75" s="127" t="s">
        <v>79</v>
      </c>
      <c r="I75" s="128"/>
      <c r="J75" s="128"/>
      <c r="K75" s="128"/>
      <c r="L75" s="50"/>
      <c r="M75" s="51"/>
      <c r="N75" s="14"/>
      <c r="O75" s="129" t="s">
        <v>14</v>
      </c>
      <c r="P75" s="130"/>
      <c r="Q75" s="130"/>
      <c r="R75" s="131"/>
      <c r="S75" s="52"/>
      <c r="T75" s="53"/>
    </row>
    <row r="76" spans="1:21" ht="13.5" hidden="1" thickBot="1" x14ac:dyDescent="0.25">
      <c r="A76" s="129" t="s">
        <v>83</v>
      </c>
      <c r="B76" s="130"/>
      <c r="C76" s="130"/>
      <c r="D76" s="131"/>
      <c r="E76" s="52"/>
      <c r="F76" s="53"/>
      <c r="G76" s="15"/>
      <c r="H76" s="104" t="s">
        <v>17</v>
      </c>
      <c r="I76" s="132"/>
      <c r="J76" s="132"/>
      <c r="K76" s="132"/>
      <c r="L76" s="52"/>
      <c r="M76" s="53"/>
      <c r="N76" s="15"/>
      <c r="O76" s="148"/>
      <c r="P76" s="148"/>
      <c r="Q76" s="148"/>
      <c r="R76" s="148"/>
      <c r="S76" s="45"/>
      <c r="T76" s="46"/>
      <c r="U76" s="39"/>
    </row>
    <row r="77" spans="1:21" x14ac:dyDescent="0.2">
      <c r="A77" s="38"/>
      <c r="B77" s="38"/>
      <c r="C77" s="38"/>
      <c r="D77" s="38"/>
      <c r="E77" s="39"/>
      <c r="F77" s="39"/>
      <c r="G77" s="39"/>
      <c r="H77" s="40"/>
      <c r="I77" s="40"/>
      <c r="J77" s="40"/>
      <c r="K77" s="40"/>
      <c r="L77" s="39"/>
      <c r="M77" s="39"/>
      <c r="N77" s="39"/>
      <c r="O77" s="41"/>
      <c r="P77" s="41"/>
      <c r="Q77" s="41"/>
      <c r="R77" s="41"/>
      <c r="S77" s="39"/>
      <c r="T77" s="39"/>
    </row>
    <row r="78" spans="1:21" x14ac:dyDescent="0.2">
      <c r="A78" s="38"/>
      <c r="B78" s="38"/>
      <c r="C78" s="38"/>
      <c r="D78" s="38"/>
      <c r="E78" s="39"/>
      <c r="F78" s="39"/>
      <c r="G78" s="39"/>
      <c r="H78" s="40"/>
      <c r="I78" s="40"/>
      <c r="J78" s="40"/>
      <c r="K78" s="40"/>
      <c r="L78" s="39"/>
      <c r="M78" s="39"/>
      <c r="N78" s="39"/>
      <c r="O78" s="41"/>
      <c r="P78" s="41"/>
      <c r="Q78" s="41"/>
      <c r="R78" s="41"/>
      <c r="S78" s="39"/>
      <c r="T78" s="39"/>
    </row>
    <row r="79" spans="1:21" x14ac:dyDescent="0.2">
      <c r="A79" s="38"/>
      <c r="B79" s="38"/>
      <c r="C79" s="38"/>
      <c r="D79" s="38"/>
      <c r="E79" s="39"/>
      <c r="F79" s="39"/>
      <c r="G79" s="39"/>
      <c r="H79" s="40"/>
      <c r="I79" s="40"/>
      <c r="J79" s="40"/>
      <c r="K79" s="40"/>
      <c r="L79" s="39"/>
      <c r="M79" s="39"/>
      <c r="N79" s="39"/>
      <c r="O79" s="41"/>
      <c r="P79" s="41"/>
      <c r="Q79" s="41"/>
      <c r="R79" s="41"/>
      <c r="S79" s="39"/>
      <c r="T79" s="39"/>
    </row>
    <row r="80" spans="1:21" x14ac:dyDescent="0.2">
      <c r="A80" s="38"/>
      <c r="B80" s="38"/>
      <c r="C80" s="38"/>
      <c r="D80" s="38"/>
      <c r="E80" s="39"/>
      <c r="F80" s="39"/>
      <c r="G80" s="39"/>
      <c r="H80" s="40"/>
      <c r="I80" s="40"/>
      <c r="J80" s="40"/>
      <c r="K80" s="40"/>
      <c r="L80" s="39"/>
      <c r="M80" s="39"/>
      <c r="N80" s="39"/>
      <c r="O80" s="41"/>
      <c r="P80" s="41"/>
      <c r="Q80" s="41"/>
      <c r="R80" s="41"/>
      <c r="S80" s="39"/>
      <c r="T80" s="39"/>
    </row>
    <row r="81" spans="1:26" hidden="1" x14ac:dyDescent="0.2">
      <c r="A81" s="38"/>
      <c r="B81" s="38"/>
      <c r="C81" s="38"/>
      <c r="D81" s="38"/>
      <c r="E81" s="39"/>
      <c r="F81" s="39"/>
      <c r="G81" s="39"/>
      <c r="H81" s="40"/>
      <c r="I81" s="40"/>
      <c r="J81" s="40"/>
      <c r="K81" s="40"/>
      <c r="L81" s="39"/>
      <c r="M81" s="39"/>
      <c r="N81" s="39"/>
      <c r="O81" s="41"/>
      <c r="P81" s="41"/>
      <c r="Q81" s="41"/>
      <c r="R81" s="41"/>
      <c r="S81" s="39"/>
      <c r="T81" s="39"/>
    </row>
    <row r="82" spans="1:26" hidden="1" x14ac:dyDescent="0.2">
      <c r="A82" s="38"/>
      <c r="B82" s="38"/>
      <c r="C82" s="38"/>
      <c r="D82" s="38"/>
      <c r="E82" s="39"/>
      <c r="F82" s="39"/>
      <c r="G82" s="39"/>
      <c r="H82" s="40"/>
      <c r="I82" s="40"/>
      <c r="J82" s="40"/>
      <c r="K82" s="40"/>
      <c r="L82" s="39"/>
      <c r="M82" s="39"/>
      <c r="N82" s="39"/>
      <c r="O82" s="41"/>
      <c r="P82" s="41"/>
      <c r="Q82" s="41"/>
      <c r="R82" s="41"/>
      <c r="S82" s="39"/>
      <c r="T82" s="39"/>
    </row>
    <row r="83" spans="1:26" hidden="1" x14ac:dyDescent="0.2">
      <c r="A83" s="38"/>
      <c r="B83" s="38"/>
      <c r="C83" s="38"/>
      <c r="D83" s="38"/>
      <c r="E83" s="39"/>
      <c r="F83" s="39"/>
      <c r="G83" s="39"/>
      <c r="H83" s="40"/>
      <c r="I83" s="40"/>
      <c r="J83" s="40"/>
      <c r="K83" s="40"/>
      <c r="L83" s="39"/>
      <c r="M83" s="39"/>
      <c r="N83" s="39"/>
      <c r="O83" s="41"/>
      <c r="P83" s="41"/>
      <c r="Q83" s="41"/>
      <c r="R83" s="41"/>
      <c r="S83" s="39"/>
      <c r="T83" s="39"/>
    </row>
    <row r="84" spans="1:26" x14ac:dyDescent="0.2">
      <c r="A84" s="42"/>
      <c r="B84" s="42"/>
      <c r="C84" s="42"/>
      <c r="D84" s="42"/>
      <c r="E84" s="42"/>
      <c r="F84" s="42"/>
      <c r="G84" s="42"/>
      <c r="H84" s="42"/>
      <c r="I84" s="42"/>
      <c r="J84" s="42"/>
      <c r="K84" s="42"/>
      <c r="L84" s="42"/>
      <c r="M84" s="42"/>
      <c r="N84" s="42"/>
      <c r="O84" s="42"/>
      <c r="P84" s="42"/>
      <c r="Q84" s="42"/>
      <c r="R84" s="42"/>
      <c r="S84" s="42"/>
      <c r="T84" s="42"/>
    </row>
    <row r="85" spans="1:26" ht="13.5" hidden="1" customHeight="1" thickBot="1" x14ac:dyDescent="0.25">
      <c r="A85" s="92" t="s">
        <v>23</v>
      </c>
      <c r="B85" s="93"/>
      <c r="C85" s="93"/>
      <c r="D85" s="94"/>
      <c r="E85" s="92" t="s">
        <v>284</v>
      </c>
      <c r="F85" s="93"/>
      <c r="G85" s="93"/>
      <c r="H85" s="94"/>
      <c r="I85" s="92" t="s">
        <v>24</v>
      </c>
      <c r="J85" s="93"/>
      <c r="K85" s="93"/>
      <c r="L85" s="93"/>
      <c r="M85" s="93"/>
      <c r="N85" s="94"/>
      <c r="O85" s="92" t="s">
        <v>25</v>
      </c>
      <c r="P85" s="93"/>
      <c r="Q85" s="94"/>
      <c r="R85" s="92" t="s">
        <v>285</v>
      </c>
      <c r="S85" s="93"/>
      <c r="T85" s="94"/>
      <c r="V85" s="291" t="s">
        <v>315</v>
      </c>
      <c r="W85" s="292"/>
      <c r="X85" s="292"/>
      <c r="Y85" s="292"/>
      <c r="Z85" s="293"/>
    </row>
    <row r="86" spans="1:26" ht="15.95" hidden="1" customHeight="1" x14ac:dyDescent="0.2">
      <c r="A86" s="111" t="s">
        <v>27</v>
      </c>
      <c r="B86" s="112"/>
      <c r="C86" s="112"/>
      <c r="D86" s="112"/>
      <c r="E86" s="115"/>
      <c r="F86" s="116"/>
      <c r="G86" s="116"/>
      <c r="H86" s="117"/>
      <c r="I86" s="113"/>
      <c r="J86" s="113"/>
      <c r="K86" s="113"/>
      <c r="L86" s="113"/>
      <c r="M86" s="113"/>
      <c r="N86" s="113"/>
      <c r="O86" s="114"/>
      <c r="P86" s="113"/>
      <c r="Q86" s="113"/>
      <c r="R86" s="97"/>
      <c r="S86" s="97"/>
      <c r="T86" s="98"/>
      <c r="V86" s="294"/>
      <c r="W86" s="295"/>
      <c r="X86" s="295"/>
      <c r="Y86" s="295"/>
      <c r="Z86" s="296"/>
    </row>
    <row r="87" spans="1:26" ht="15.95" hidden="1" customHeight="1" thickBot="1" x14ac:dyDescent="0.25">
      <c r="A87" s="104" t="s">
        <v>280</v>
      </c>
      <c r="B87" s="105"/>
      <c r="C87" s="102"/>
      <c r="D87" s="102"/>
      <c r="E87" s="102"/>
      <c r="F87" s="102"/>
      <c r="G87" s="102"/>
      <c r="H87" s="102"/>
      <c r="I87" s="102"/>
      <c r="J87" s="102"/>
      <c r="K87" s="102"/>
      <c r="L87" s="102"/>
      <c r="M87" s="102"/>
      <c r="N87" s="102"/>
      <c r="O87" s="102"/>
      <c r="P87" s="102"/>
      <c r="Q87" s="102"/>
      <c r="R87" s="102"/>
      <c r="S87" s="102"/>
      <c r="T87" s="103"/>
      <c r="V87" s="297"/>
      <c r="W87" s="298"/>
      <c r="X87" s="298"/>
      <c r="Y87" s="298"/>
      <c r="Z87" s="299"/>
    </row>
    <row r="88" spans="1:26" ht="15.95" hidden="1" customHeight="1" x14ac:dyDescent="0.2">
      <c r="A88" s="111" t="s">
        <v>29</v>
      </c>
      <c r="B88" s="112"/>
      <c r="C88" s="112"/>
      <c r="D88" s="112"/>
      <c r="E88" s="115"/>
      <c r="F88" s="116"/>
      <c r="G88" s="116"/>
      <c r="H88" s="117"/>
      <c r="I88" s="113"/>
      <c r="J88" s="113"/>
      <c r="K88" s="113"/>
      <c r="L88" s="113"/>
      <c r="M88" s="113"/>
      <c r="N88" s="113"/>
      <c r="O88" s="114"/>
      <c r="P88" s="113"/>
      <c r="Q88" s="113"/>
      <c r="R88" s="97"/>
      <c r="S88" s="97"/>
      <c r="T88" s="98"/>
      <c r="V88" s="300" t="s">
        <v>292</v>
      </c>
      <c r="W88" s="301"/>
      <c r="X88" s="301"/>
      <c r="Y88" s="301"/>
      <c r="Z88" s="302"/>
    </row>
    <row r="89" spans="1:26" ht="15.95" hidden="1" customHeight="1" thickBot="1" x14ac:dyDescent="0.25">
      <c r="A89" s="104" t="s">
        <v>280</v>
      </c>
      <c r="B89" s="105"/>
      <c r="C89" s="102"/>
      <c r="D89" s="102"/>
      <c r="E89" s="102"/>
      <c r="F89" s="102"/>
      <c r="G89" s="102"/>
      <c r="H89" s="102"/>
      <c r="I89" s="102"/>
      <c r="J89" s="102"/>
      <c r="K89" s="102"/>
      <c r="L89" s="102"/>
      <c r="M89" s="102"/>
      <c r="N89" s="102"/>
      <c r="O89" s="102"/>
      <c r="P89" s="102"/>
      <c r="Q89" s="102"/>
      <c r="R89" s="102"/>
      <c r="S89" s="102"/>
      <c r="T89" s="103"/>
      <c r="V89" s="303"/>
      <c r="W89" s="304"/>
      <c r="X89" s="304"/>
      <c r="Y89" s="304"/>
      <c r="Z89" s="305"/>
    </row>
    <row r="90" spans="1:26" ht="15.95" hidden="1" customHeight="1" x14ac:dyDescent="0.2">
      <c r="A90" s="111" t="s">
        <v>32</v>
      </c>
      <c r="B90" s="112"/>
      <c r="C90" s="112"/>
      <c r="D90" s="112"/>
      <c r="E90" s="115"/>
      <c r="F90" s="116"/>
      <c r="G90" s="116"/>
      <c r="H90" s="117"/>
      <c r="I90" s="113"/>
      <c r="J90" s="113"/>
      <c r="K90" s="113"/>
      <c r="L90" s="113"/>
      <c r="M90" s="113"/>
      <c r="N90" s="113"/>
      <c r="O90" s="114"/>
      <c r="P90" s="113"/>
      <c r="Q90" s="113"/>
      <c r="R90" s="97"/>
      <c r="S90" s="97"/>
      <c r="T90" s="98"/>
    </row>
    <row r="91" spans="1:26" ht="15.95" hidden="1" customHeight="1" thickBot="1" x14ac:dyDescent="0.25">
      <c r="A91" s="104" t="s">
        <v>280</v>
      </c>
      <c r="B91" s="105"/>
      <c r="C91" s="102"/>
      <c r="D91" s="102"/>
      <c r="E91" s="102"/>
      <c r="F91" s="102"/>
      <c r="G91" s="102"/>
      <c r="H91" s="102"/>
      <c r="I91" s="102"/>
      <c r="J91" s="102"/>
      <c r="K91" s="102"/>
      <c r="L91" s="102"/>
      <c r="M91" s="102"/>
      <c r="N91" s="102"/>
      <c r="O91" s="102"/>
      <c r="P91" s="102"/>
      <c r="Q91" s="102"/>
      <c r="R91" s="102"/>
      <c r="S91" s="102"/>
      <c r="T91" s="103"/>
    </row>
    <row r="92" spans="1:26" ht="15.95" hidden="1" customHeight="1" x14ac:dyDescent="0.2">
      <c r="A92" s="111" t="s">
        <v>33</v>
      </c>
      <c r="B92" s="112"/>
      <c r="C92" s="112"/>
      <c r="D92" s="112"/>
      <c r="E92" s="115"/>
      <c r="F92" s="116"/>
      <c r="G92" s="116"/>
      <c r="H92" s="117"/>
      <c r="I92" s="113"/>
      <c r="J92" s="113"/>
      <c r="K92" s="113"/>
      <c r="L92" s="113"/>
      <c r="M92" s="113"/>
      <c r="N92" s="113"/>
      <c r="O92" s="114"/>
      <c r="P92" s="113"/>
      <c r="Q92" s="113"/>
      <c r="R92" s="97"/>
      <c r="S92" s="97"/>
      <c r="T92" s="98"/>
    </row>
    <row r="93" spans="1:26" ht="15.95" hidden="1" customHeight="1" thickBot="1" x14ac:dyDescent="0.25">
      <c r="A93" s="104" t="s">
        <v>280</v>
      </c>
      <c r="B93" s="105"/>
      <c r="C93" s="102"/>
      <c r="D93" s="102"/>
      <c r="E93" s="102"/>
      <c r="F93" s="102"/>
      <c r="G93" s="102"/>
      <c r="H93" s="102"/>
      <c r="I93" s="102"/>
      <c r="J93" s="102"/>
      <c r="K93" s="102"/>
      <c r="L93" s="102"/>
      <c r="M93" s="102"/>
      <c r="N93" s="102"/>
      <c r="O93" s="102"/>
      <c r="P93" s="102"/>
      <c r="Q93" s="102"/>
      <c r="R93" s="102"/>
      <c r="S93" s="102"/>
      <c r="T93" s="103"/>
      <c r="V93" s="59"/>
      <c r="W93" s="59"/>
      <c r="X93" s="59"/>
      <c r="Y93" s="59"/>
      <c r="Z93" s="59"/>
    </row>
    <row r="94" spans="1:26" ht="15.75" hidden="1" customHeight="1" thickBot="1" x14ac:dyDescent="0.25">
      <c r="A94" s="99" t="s">
        <v>34</v>
      </c>
      <c r="B94" s="100"/>
      <c r="C94" s="100"/>
      <c r="D94" s="100"/>
      <c r="E94" s="100"/>
      <c r="F94" s="100"/>
      <c r="G94" s="100"/>
      <c r="H94" s="100"/>
      <c r="I94" s="100"/>
      <c r="J94" s="100"/>
      <c r="K94" s="100"/>
      <c r="L94" s="100"/>
      <c r="M94" s="100"/>
      <c r="N94" s="100"/>
      <c r="O94" s="100"/>
      <c r="P94" s="100"/>
      <c r="Q94" s="100"/>
      <c r="R94" s="100"/>
      <c r="S94" s="100"/>
      <c r="T94" s="101"/>
    </row>
    <row r="95" spans="1:26" ht="15.95" hidden="1" customHeight="1" thickBot="1" x14ac:dyDescent="0.25">
      <c r="A95" s="106" t="s">
        <v>35</v>
      </c>
      <c r="B95" s="107"/>
      <c r="C95" s="107"/>
      <c r="D95" s="108"/>
      <c r="E95" s="89"/>
      <c r="F95" s="90"/>
      <c r="G95" s="90"/>
      <c r="H95" s="91"/>
      <c r="I95" s="109"/>
      <c r="J95" s="109"/>
      <c r="K95" s="109"/>
      <c r="L95" s="109"/>
      <c r="M95" s="109"/>
      <c r="N95" s="109"/>
      <c r="O95" s="110"/>
      <c r="P95" s="109"/>
      <c r="Q95" s="109"/>
      <c r="R95" s="95"/>
      <c r="S95" s="95"/>
      <c r="T95" s="96"/>
    </row>
  </sheetData>
  <sheetProtection algorithmName="SHA-512" hashValue="q5CsJpuLQFrNVRyfEeC9rvfRuehjg9LxPQShaUGqH5Nf7Tho7ZLSmocmJQMtB2sJm2aT6wnURrvvbHB90WvbwQ==" saltValue="OcOM5b5jF6gyAx9GqOYh1w==" spinCount="100000" sheet="1" objects="1" scenarios="1" selectLockedCells="1"/>
  <protectedRanges>
    <protectedRange sqref="M4:R4 O7:P7 A4:I4 O5:P5 M6:R6 A8:G8 B6:E6 G6:I6 A11:D11 F11:K11 A10:K10 K9 A9:I9" name="Range1"/>
  </protectedRanges>
  <dataConsolidate/>
  <mergeCells count="218">
    <mergeCell ref="M47:O47"/>
    <mergeCell ref="C47:D47"/>
    <mergeCell ref="E47:J47"/>
    <mergeCell ref="V85:Z87"/>
    <mergeCell ref="V88:Z89"/>
    <mergeCell ref="P8:R8"/>
    <mergeCell ref="P7:R7"/>
    <mergeCell ref="L8:N8"/>
    <mergeCell ref="L7:N7"/>
    <mergeCell ref="O63:R63"/>
    <mergeCell ref="O62:R62"/>
    <mergeCell ref="K51:O51"/>
    <mergeCell ref="A49:T50"/>
    <mergeCell ref="K10:M11"/>
    <mergeCell ref="N10:N11"/>
    <mergeCell ref="H63:K63"/>
    <mergeCell ref="H62:K62"/>
    <mergeCell ref="A63:D63"/>
    <mergeCell ref="A62:D62"/>
    <mergeCell ref="H57:K57"/>
    <mergeCell ref="A61:D61"/>
    <mergeCell ref="A60:D60"/>
    <mergeCell ref="A59:D59"/>
    <mergeCell ref="A58:D58"/>
    <mergeCell ref="A57:D57"/>
    <mergeCell ref="O61:R61"/>
    <mergeCell ref="O60:R60"/>
    <mergeCell ref="C1:R2"/>
    <mergeCell ref="A2:B2"/>
    <mergeCell ref="A1:B1"/>
    <mergeCell ref="S1:T2"/>
    <mergeCell ref="R52:T52"/>
    <mergeCell ref="H52:J52"/>
    <mergeCell ref="H53:J53"/>
    <mergeCell ref="M53:O53"/>
    <mergeCell ref="M52:O52"/>
    <mergeCell ref="P53:Q53"/>
    <mergeCell ref="A51:E51"/>
    <mergeCell ref="P52:Q52"/>
    <mergeCell ref="K53:L53"/>
    <mergeCell ref="K52:L52"/>
    <mergeCell ref="F53:G53"/>
    <mergeCell ref="F52:G52"/>
    <mergeCell ref="P51:T51"/>
    <mergeCell ref="C41:D41"/>
    <mergeCell ref="E41:J41"/>
    <mergeCell ref="M41:O41"/>
    <mergeCell ref="J3:K3"/>
    <mergeCell ref="H3:I3"/>
    <mergeCell ref="A3:E3"/>
    <mergeCell ref="L3:M3"/>
    <mergeCell ref="F3:G3"/>
    <mergeCell ref="F4:G5"/>
    <mergeCell ref="O6:R6"/>
    <mergeCell ref="S6:T6"/>
    <mergeCell ref="A6:F6"/>
    <mergeCell ref="G6:J6"/>
    <mergeCell ref="K6:N6"/>
    <mergeCell ref="L4:M5"/>
    <mergeCell ref="J4:K5"/>
    <mergeCell ref="H4:I5"/>
    <mergeCell ref="A4:E5"/>
    <mergeCell ref="N3:P3"/>
    <mergeCell ref="Q3:T3"/>
    <mergeCell ref="Q4:T5"/>
    <mergeCell ref="N4:P5"/>
    <mergeCell ref="A7:F7"/>
    <mergeCell ref="G7:J8"/>
    <mergeCell ref="S7:T8"/>
    <mergeCell ref="A8:F8"/>
    <mergeCell ref="D10:G11"/>
    <mergeCell ref="A10:C11"/>
    <mergeCell ref="K9:N9"/>
    <mergeCell ref="H9:J9"/>
    <mergeCell ref="D9:G9"/>
    <mergeCell ref="A9:C9"/>
    <mergeCell ref="H10:J11"/>
    <mergeCell ref="O9:T9"/>
    <mergeCell ref="A12:T13"/>
    <mergeCell ref="Q10:T11"/>
    <mergeCell ref="O10:P11"/>
    <mergeCell ref="B17:K17"/>
    <mergeCell ref="B16:K16"/>
    <mergeCell ref="L23:T23"/>
    <mergeCell ref="A18:A19"/>
    <mergeCell ref="L22:S22"/>
    <mergeCell ref="L20:S20"/>
    <mergeCell ref="L18:S19"/>
    <mergeCell ref="B14:K14"/>
    <mergeCell ref="B15:K15"/>
    <mergeCell ref="B22:K22"/>
    <mergeCell ref="B21:K21"/>
    <mergeCell ref="L14:S14"/>
    <mergeCell ref="L21:S21"/>
    <mergeCell ref="T18:T19"/>
    <mergeCell ref="L29:T30"/>
    <mergeCell ref="B26:K26"/>
    <mergeCell ref="B25:K25"/>
    <mergeCell ref="B24:K24"/>
    <mergeCell ref="B23:K23"/>
    <mergeCell ref="B18:K19"/>
    <mergeCell ref="B20:J20"/>
    <mergeCell ref="L25:O25"/>
    <mergeCell ref="P25:T25"/>
    <mergeCell ref="L26:O26"/>
    <mergeCell ref="P26:T26"/>
    <mergeCell ref="A64:T65"/>
    <mergeCell ref="A66:E66"/>
    <mergeCell ref="F66:J66"/>
    <mergeCell ref="K66:O66"/>
    <mergeCell ref="P66:T66"/>
    <mergeCell ref="A67:E68"/>
    <mergeCell ref="L17:S17"/>
    <mergeCell ref="L16:S16"/>
    <mergeCell ref="L15:S15"/>
    <mergeCell ref="B29:K29"/>
    <mergeCell ref="B28:K28"/>
    <mergeCell ref="B27:K27"/>
    <mergeCell ref="O59:R59"/>
    <mergeCell ref="O58:R58"/>
    <mergeCell ref="O57:R57"/>
    <mergeCell ref="H61:K61"/>
    <mergeCell ref="H60:K60"/>
    <mergeCell ref="H59:K59"/>
    <mergeCell ref="H58:K58"/>
    <mergeCell ref="A31:T32"/>
    <mergeCell ref="A33:T40"/>
    <mergeCell ref="A43:T46"/>
    <mergeCell ref="L24:T24"/>
    <mergeCell ref="L27:T28"/>
    <mergeCell ref="E90:H90"/>
    <mergeCell ref="R68:T68"/>
    <mergeCell ref="B30:K30"/>
    <mergeCell ref="A86:D86"/>
    <mergeCell ref="I86:N86"/>
    <mergeCell ref="O86:Q86"/>
    <mergeCell ref="A85:D85"/>
    <mergeCell ref="E85:H85"/>
    <mergeCell ref="I85:N85"/>
    <mergeCell ref="O85:Q85"/>
    <mergeCell ref="H69:N69"/>
    <mergeCell ref="R55:T55"/>
    <mergeCell ref="R54:T54"/>
    <mergeCell ref="O55:Q55"/>
    <mergeCell ref="O54:Q54"/>
    <mergeCell ref="H55:N55"/>
    <mergeCell ref="H54:N54"/>
    <mergeCell ref="E55:G55"/>
    <mergeCell ref="E54:G54"/>
    <mergeCell ref="A55:D55"/>
    <mergeCell ref="A54:D54"/>
    <mergeCell ref="F51:J51"/>
    <mergeCell ref="A52:E53"/>
    <mergeCell ref="R53:T53"/>
    <mergeCell ref="O72:R72"/>
    <mergeCell ref="O73:R73"/>
    <mergeCell ref="O74:R74"/>
    <mergeCell ref="O75:R75"/>
    <mergeCell ref="O76:R76"/>
    <mergeCell ref="F67:G67"/>
    <mergeCell ref="H67:J67"/>
    <mergeCell ref="K67:L67"/>
    <mergeCell ref="M67:O67"/>
    <mergeCell ref="P67:Q67"/>
    <mergeCell ref="M68:O68"/>
    <mergeCell ref="P68:Q68"/>
    <mergeCell ref="R67:T67"/>
    <mergeCell ref="F68:G68"/>
    <mergeCell ref="H68:J68"/>
    <mergeCell ref="K68:L68"/>
    <mergeCell ref="E92:H92"/>
    <mergeCell ref="O70:T70"/>
    <mergeCell ref="O69:T69"/>
    <mergeCell ref="A75:D75"/>
    <mergeCell ref="H75:K75"/>
    <mergeCell ref="A76:D76"/>
    <mergeCell ref="H76:K76"/>
    <mergeCell ref="A72:D72"/>
    <mergeCell ref="H72:K72"/>
    <mergeCell ref="A73:D73"/>
    <mergeCell ref="H73:K73"/>
    <mergeCell ref="A74:D74"/>
    <mergeCell ref="H74:K74"/>
    <mergeCell ref="A69:D69"/>
    <mergeCell ref="E69:G69"/>
    <mergeCell ref="A70:D70"/>
    <mergeCell ref="E70:G70"/>
    <mergeCell ref="H70:N70"/>
    <mergeCell ref="O90:Q90"/>
    <mergeCell ref="A88:D88"/>
    <mergeCell ref="I88:N88"/>
    <mergeCell ref="O88:Q88"/>
    <mergeCell ref="E86:H86"/>
    <mergeCell ref="E88:H88"/>
    <mergeCell ref="E95:H95"/>
    <mergeCell ref="R85:T85"/>
    <mergeCell ref="R95:T95"/>
    <mergeCell ref="R92:T92"/>
    <mergeCell ref="R90:T90"/>
    <mergeCell ref="R88:T88"/>
    <mergeCell ref="R86:T86"/>
    <mergeCell ref="A94:T94"/>
    <mergeCell ref="C93:T93"/>
    <mergeCell ref="C91:T91"/>
    <mergeCell ref="C89:T89"/>
    <mergeCell ref="C87:T87"/>
    <mergeCell ref="A89:B89"/>
    <mergeCell ref="A87:B87"/>
    <mergeCell ref="A93:B93"/>
    <mergeCell ref="A91:B91"/>
    <mergeCell ref="A95:D95"/>
    <mergeCell ref="I95:N95"/>
    <mergeCell ref="O95:Q95"/>
    <mergeCell ref="A92:D92"/>
    <mergeCell ref="I92:N92"/>
    <mergeCell ref="O92:Q92"/>
    <mergeCell ref="A90:D90"/>
    <mergeCell ref="I90:N90"/>
  </mergeCells>
  <conditionalFormatting sqref="L29">
    <cfRule type="expression" dxfId="67" priority="88">
      <formula>$L$29="LOW"</formula>
    </cfRule>
  </conditionalFormatting>
  <conditionalFormatting sqref="L29:T30">
    <cfRule type="expression" dxfId="66" priority="86">
      <formula>$L$29="HIGH"</formula>
    </cfRule>
    <cfRule type="expression" dxfId="65" priority="87">
      <formula>$L$29="MEDIUM"</formula>
    </cfRule>
  </conditionalFormatting>
  <conditionalFormatting sqref="L21:S21">
    <cfRule type="expression" dxfId="64" priority="77">
      <formula>$A$21=FALSE</formula>
    </cfRule>
  </conditionalFormatting>
  <conditionalFormatting sqref="T21">
    <cfRule type="expression" dxfId="63" priority="54">
      <formula>AND($A$21=TRUE,$T$21="")</formula>
    </cfRule>
    <cfRule type="expression" dxfId="62" priority="76">
      <formula>$A$21=FALSE</formula>
    </cfRule>
  </conditionalFormatting>
  <conditionalFormatting sqref="A4">
    <cfRule type="expression" dxfId="61" priority="73">
      <formula>$A$4=""</formula>
    </cfRule>
  </conditionalFormatting>
  <conditionalFormatting sqref="F4:G5">
    <cfRule type="expression" dxfId="60" priority="72">
      <formula>$F$4=""</formula>
    </cfRule>
  </conditionalFormatting>
  <conditionalFormatting sqref="H4:I5">
    <cfRule type="expression" dxfId="59" priority="71">
      <formula>$H$4=""</formula>
    </cfRule>
  </conditionalFormatting>
  <conditionalFormatting sqref="J4:K5">
    <cfRule type="expression" dxfId="58" priority="70">
      <formula>$J$4=""</formula>
    </cfRule>
  </conditionalFormatting>
  <conditionalFormatting sqref="L4:M5">
    <cfRule type="expression" dxfId="57" priority="69">
      <formula>$L$4=""</formula>
    </cfRule>
  </conditionalFormatting>
  <conditionalFormatting sqref="N4:P5">
    <cfRule type="expression" dxfId="56" priority="68">
      <formula>$N$4=""</formula>
    </cfRule>
  </conditionalFormatting>
  <conditionalFormatting sqref="Q4:T5">
    <cfRule type="expression" dxfId="55" priority="67">
      <formula>$Q$4=""</formula>
    </cfRule>
  </conditionalFormatting>
  <conditionalFormatting sqref="A7:F7">
    <cfRule type="expression" dxfId="54" priority="66">
      <formula>$A$7=""</formula>
    </cfRule>
  </conditionalFormatting>
  <conditionalFormatting sqref="A8:F8">
    <cfRule type="expression" dxfId="53" priority="65">
      <formula>$A$8=""</formula>
    </cfRule>
  </conditionalFormatting>
  <conditionalFormatting sqref="G7:J8">
    <cfRule type="expression" dxfId="52" priority="64">
      <formula>$G$7=""</formula>
    </cfRule>
  </conditionalFormatting>
  <conditionalFormatting sqref="A10:C11">
    <cfRule type="expression" priority="16">
      <formula>"IF(A41=""OUT"", A10=""Out of Bounds"",)"</formula>
    </cfRule>
    <cfRule type="expression" dxfId="51" priority="60">
      <formula>$A$10=""</formula>
    </cfRule>
  </conditionalFormatting>
  <conditionalFormatting sqref="D10:G11">
    <cfRule type="expression" dxfId="50" priority="59">
      <formula>$D$10=""</formula>
    </cfRule>
  </conditionalFormatting>
  <conditionalFormatting sqref="H10:J11">
    <cfRule type="expression" dxfId="49" priority="58">
      <formula>$H$10=""</formula>
    </cfRule>
  </conditionalFormatting>
  <conditionalFormatting sqref="K10:M11">
    <cfRule type="expression" dxfId="48" priority="57">
      <formula>$K$10=""</formula>
    </cfRule>
  </conditionalFormatting>
  <conditionalFormatting sqref="O10:P11">
    <cfRule type="expression" dxfId="47" priority="56">
      <formula>$O$10=""</formula>
    </cfRule>
  </conditionalFormatting>
  <conditionalFormatting sqref="Q10:T11">
    <cfRule type="expression" dxfId="46" priority="55">
      <formula>$Q$10=""</formula>
    </cfRule>
  </conditionalFormatting>
  <conditionalFormatting sqref="T14">
    <cfRule type="expression" dxfId="45" priority="53">
      <formula>$T$14=""</formula>
    </cfRule>
  </conditionalFormatting>
  <conditionalFormatting sqref="T15">
    <cfRule type="expression" dxfId="44" priority="52">
      <formula>$T$15=""</formula>
    </cfRule>
  </conditionalFormatting>
  <conditionalFormatting sqref="T16">
    <cfRule type="expression" dxfId="43" priority="51">
      <formula>$T$16=""</formula>
    </cfRule>
  </conditionalFormatting>
  <conditionalFormatting sqref="T17">
    <cfRule type="expression" dxfId="42" priority="50">
      <formula>$T$17=""</formula>
    </cfRule>
  </conditionalFormatting>
  <conditionalFormatting sqref="T18:T19">
    <cfRule type="expression" dxfId="41" priority="49">
      <formula>$T$18=""</formula>
    </cfRule>
  </conditionalFormatting>
  <conditionalFormatting sqref="T20">
    <cfRule type="expression" dxfId="40" priority="48">
      <formula>$T$20=""</formula>
    </cfRule>
  </conditionalFormatting>
  <conditionalFormatting sqref="T22">
    <cfRule type="expression" dxfId="39" priority="47">
      <formula>$T$22=""</formula>
    </cfRule>
  </conditionalFormatting>
  <conditionalFormatting sqref="A52:E53">
    <cfRule type="expression" dxfId="38" priority="46">
      <formula>$A$52=""</formula>
    </cfRule>
  </conditionalFormatting>
  <conditionalFormatting sqref="H52:J52">
    <cfRule type="expression" dxfId="37" priority="45">
      <formula>$H$52=""</formula>
    </cfRule>
  </conditionalFormatting>
  <conditionalFormatting sqref="H53:J53">
    <cfRule type="expression" dxfId="36" priority="44">
      <formula>$H$53=""</formula>
    </cfRule>
  </conditionalFormatting>
  <conditionalFormatting sqref="M53:O53">
    <cfRule type="expression" dxfId="35" priority="42">
      <formula>$M$53=""</formula>
    </cfRule>
  </conditionalFormatting>
  <conditionalFormatting sqref="M52:O52">
    <cfRule type="expression" dxfId="34" priority="41">
      <formula>$M$52=""</formula>
    </cfRule>
  </conditionalFormatting>
  <conditionalFormatting sqref="R52:T52">
    <cfRule type="expression" dxfId="33" priority="40">
      <formula>$R$52=""</formula>
    </cfRule>
  </conditionalFormatting>
  <conditionalFormatting sqref="R53:T53">
    <cfRule type="expression" dxfId="32" priority="39">
      <formula>$R$53=""</formula>
    </cfRule>
  </conditionalFormatting>
  <conditionalFormatting sqref="E54:G54">
    <cfRule type="expression" dxfId="31" priority="38">
      <formula>$E$54=""</formula>
    </cfRule>
  </conditionalFormatting>
  <conditionalFormatting sqref="E55:G55">
    <cfRule type="expression" dxfId="30" priority="37">
      <formula>$E$55=""</formula>
    </cfRule>
  </conditionalFormatting>
  <conditionalFormatting sqref="R55:T55">
    <cfRule type="expression" dxfId="29" priority="36">
      <formula>$R$55=""</formula>
    </cfRule>
  </conditionalFormatting>
  <conditionalFormatting sqref="A67:E68">
    <cfRule type="expression" dxfId="28" priority="35">
      <formula>$A$67=""</formula>
    </cfRule>
  </conditionalFormatting>
  <conditionalFormatting sqref="H67:J67">
    <cfRule type="expression" dxfId="27" priority="34">
      <formula>$H$67=""</formula>
    </cfRule>
  </conditionalFormatting>
  <conditionalFormatting sqref="H68:J68">
    <cfRule type="expression" dxfId="26" priority="33">
      <formula>$H$68=""</formula>
    </cfRule>
  </conditionalFormatting>
  <conditionalFormatting sqref="M67:O67">
    <cfRule type="expression" dxfId="25" priority="32">
      <formula>$M$67=""</formula>
    </cfRule>
  </conditionalFormatting>
  <conditionalFormatting sqref="M68:O68">
    <cfRule type="expression" dxfId="24" priority="31">
      <formula>$M$68=""</formula>
    </cfRule>
  </conditionalFormatting>
  <conditionalFormatting sqref="R67:T67">
    <cfRule type="expression" dxfId="23" priority="27">
      <formula>$R$67=""</formula>
    </cfRule>
  </conditionalFormatting>
  <conditionalFormatting sqref="R68:T68">
    <cfRule type="expression" dxfId="22" priority="26">
      <formula>$R$68=""</formula>
    </cfRule>
  </conditionalFormatting>
  <conditionalFormatting sqref="E69:G69">
    <cfRule type="expression" dxfId="21" priority="25">
      <formula>$E$69=""</formula>
    </cfRule>
  </conditionalFormatting>
  <conditionalFormatting sqref="E70:G70">
    <cfRule type="expression" dxfId="20" priority="24">
      <formula>$E$70=""</formula>
    </cfRule>
  </conditionalFormatting>
  <conditionalFormatting sqref="L24:T24">
    <cfRule type="expression" dxfId="19" priority="5">
      <formula>OR($T$22="", $T$22="No")</formula>
    </cfRule>
    <cfRule type="expression" dxfId="18" priority="23">
      <formula>AND($T$22="Yes",$L$24="")</formula>
    </cfRule>
  </conditionalFormatting>
  <conditionalFormatting sqref="L8:N8">
    <cfRule type="expression" dxfId="17" priority="20">
      <formula>$L$8=""</formula>
    </cfRule>
  </conditionalFormatting>
  <conditionalFormatting sqref="L7:N7">
    <cfRule type="expression" dxfId="16" priority="19">
      <formula>$L$7=""</formula>
    </cfRule>
  </conditionalFormatting>
  <conditionalFormatting sqref="P7:R7">
    <cfRule type="expression" dxfId="15" priority="18">
      <formula>$P$7=""</formula>
    </cfRule>
  </conditionalFormatting>
  <conditionalFormatting sqref="P8:R8">
    <cfRule type="expression" dxfId="14" priority="17">
      <formula>$P$8=""</formula>
    </cfRule>
  </conditionalFormatting>
  <conditionalFormatting sqref="E86:H86">
    <cfRule type="expression" dxfId="13" priority="15">
      <formula>$E$86=""</formula>
    </cfRule>
  </conditionalFormatting>
  <conditionalFormatting sqref="E88:H88">
    <cfRule type="expression" dxfId="12" priority="14">
      <formula>$E$88=""</formula>
    </cfRule>
  </conditionalFormatting>
  <conditionalFormatting sqref="E90:H90">
    <cfRule type="expression" dxfId="11" priority="13">
      <formula>$E$90=""</formula>
    </cfRule>
  </conditionalFormatting>
  <conditionalFormatting sqref="E92:H92">
    <cfRule type="expression" dxfId="10" priority="12">
      <formula>$E$92=""</formula>
    </cfRule>
  </conditionalFormatting>
  <conditionalFormatting sqref="E95:H95">
    <cfRule type="expression" dxfId="9" priority="11">
      <formula>AND($E$92="Denied",$E$95="")</formula>
    </cfRule>
  </conditionalFormatting>
  <conditionalFormatting sqref="L26:O26">
    <cfRule type="expression" dxfId="8" priority="3">
      <formula>OR($T$22="", $T$22="No")</formula>
    </cfRule>
    <cfRule type="expression" dxfId="7" priority="10">
      <formula>AND($T$22="Yes", $L$26="")</formula>
    </cfRule>
  </conditionalFormatting>
  <conditionalFormatting sqref="P26:T26">
    <cfRule type="expression" dxfId="6" priority="2">
      <formula>OR($T$22="", $T$22="No")</formula>
    </cfRule>
    <cfRule type="expression" dxfId="5" priority="9">
      <formula>AND($T$22="Yes", $P$26="")</formula>
    </cfRule>
  </conditionalFormatting>
  <conditionalFormatting sqref="L23:T23">
    <cfRule type="expression" dxfId="4" priority="6">
      <formula>OR($T$22="", $T$22="No")</formula>
    </cfRule>
  </conditionalFormatting>
  <conditionalFormatting sqref="L25:O25">
    <cfRule type="expression" dxfId="3" priority="4">
      <formula>OR($T$22="", $T$22="No")</formula>
    </cfRule>
  </conditionalFormatting>
  <conditionalFormatting sqref="P25:T25">
    <cfRule type="expression" dxfId="2" priority="1">
      <formula>OR($T$22="", $T$22="No")</formula>
    </cfRule>
  </conditionalFormatting>
  <dataValidations xWindow="827" yWindow="350" count="28">
    <dataValidation type="list" allowBlank="1" showInputMessage="1" showErrorMessage="1" errorTitle="Input Error:" error="You must enter either &quot;Yes&quot; or &quot;No&quot; to this question." sqref="T21:T22 T14:T19">
      <formula1>"Yes, No"</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A10:C11">
      <formula1>Nature_of_Request</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10:J11">
      <formula1>Mode_of_Travel</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O10:P11">
      <formula1>Rank</formula1>
    </dataValidation>
    <dataValidation type="decimal" allowBlank="1" showInputMessage="1" showErrorMessage="1" errorTitle="Input Error" error="You must enter a number between 0 and 90._x000a__x000a_Valid number formats are #.0, or #.5._x000a__x000a_For example, 5.0 or 7.5" sqref="N4:P5">
      <formula1>0</formula1>
      <formula2>90</formula2>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67:J67 H52:J52 M52:O52 M67:O67">
      <formula1>State</formula1>
    </dataValidation>
    <dataValidation type="whole" allowBlank="1" showInputMessage="1" showErrorMessage="1" errorTitle="Input Error:" error="You must enter a whole number between 1 and 15." sqref="R55:T55">
      <formula1>0</formula1>
      <formula2>15</formula2>
    </dataValidation>
    <dataValidation type="whole" operator="greaterThanOrEqual" allowBlank="1" showInputMessage="1" showErrorMessage="1" errorTitle="Input Error" error="You must enter a whole number." sqref="K10:M11">
      <formula1>0</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L8:N8 P26:T26 Q4:T5">
      <formula1>AND(VALUE(LEFT(L4,LEN(L4)-4))&lt;=9999,VALUE(MID(L4,LEN(L4)-3, 2))&lt;=12,VALUE(RIGHT(L4,LEN(L4)-6))&lt;=31,L4&gt;=VALUE(TEXT(TODAY(), "yyyymmdd")), L4&lt;=VALUE(TEXT(TODAY(), "yyyymmdd"))+10000)</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D10:G11">
      <formula1>Justification_of_Request</formula1>
    </dataValidation>
    <dataValidation type="whole" allowBlank="1" showInputMessage="1" showErrorMessage="1" errorTitle="Input Error" error="Your EDIPI should be a ten digit number." sqref="H4:I5">
      <formula1>1000000001</formula1>
      <formula2>9999999999</formula2>
    </dataValidation>
    <dataValidation type="list" allowBlank="1" showInputMessage="1" showErrorMessage="1" sqref="T20">
      <formula1>"1, 2, 3, 4"</formula1>
    </dataValidation>
    <dataValidation type="list" allowBlank="1" showInputMessage="1" showErrorMessage="1" errorTitle="Input Error" error="The typed input is an unsupported value. Please use the dropdown box and select an option._x000a_" promptTitle="Dropdown box" prompt="This cell utilizes a drop down box for you to choose from, please use it." sqref="J4:K5">
      <formula1>Company</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4:M5">
      <formula1>INDIRECT(J4&amp;"_Section")</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_x000a__x000a_For Example:_x000a_February 2020 would be entered as &quot;Feb 2020&quot;" sqref="R53:T53 E70:G70 R68:T68 E55:G55">
      <formula1>AND(ISNUMBER(E53), OR(LEN(E53)=0,LEN(E53)=5), OR(LEN(E53)=0, E53&gt;=VALUE(TEXT(TODAY(),"MMM-YYYY"))))</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P8:R8">
      <formula1>AND(VALUE(LEFT(P8,LEN(P8)-4))&lt;=9999,VALUE(MID(P8,LEN(P8)-3, 2))&lt;=12,VALUE(RIGHT(P8,LEN(P8)-6))&lt;=31,P8&gt;=L8, P8&lt;=VALUE(TEXT(TODAY(), "yyyymmdd"))+10000)</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L7:N7">
      <formula1>AND((ISERROR(FIND(":",L7))), (A41=4), (VALUE(LEFT(TEXT(L7,"00\:00"),2))&gt;=0), (VALUE(LEFT(TEXT(L7,"00\:00"),2))&lt;=23), (VALUE(RIGHT(TEXT(L7,"00\:00"),2))&gt;=0), (VALUE(RIGHT(TEXT(L7,"00\:00"),2))&lt;=59))</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P7:R7">
      <formula1>AND((ISERROR(FIND(":",P7))), (B41=4), (VALUE(LEFT(TEXT(P7,"00\:00"),2))&gt;=0), (VALUE(LEFT(TEXT(P7,"00\:00"),2))&lt;=23), (VALUE(RIGHT(TEXT(P7,"00\:00"),2))&gt;=0), (VALUE(RIGHT(TEXT(P7,"00\:00"),2))&lt;=59))</formula1>
    </dataValidation>
    <dataValidation type="list" allowBlank="1" showInputMessage="1" showErrorMessage="1" errorTitle="Input Error" error="The typed input is an unsupported value. Please use the dropdown box and select an option." promptTitle="Dropdown Option" prompt="This cell utilizes a drop down box for you to choose from, please use it." sqref="F4:G5">
      <formula1>Rank</formula1>
    </dataValidation>
    <dataValidation allowBlank="1" showInputMessage="1" showErrorMessage="1" prompt="House Number and Road goes here._x000a_City, State and Zip goes below." sqref="A7:F7"/>
    <dataValidation allowBlank="1" showInputMessage="1" showErrorMessage="1" prompt="City, State and Zip goes here._x000a_House Number and Road goes above." sqref="A8:F8"/>
    <dataValidation allowBlank="1" showInputMessage="1" showErrorMessage="1" errorTitle="Input Error" error="Please only use letters, spaces, commas, and periods._x000a__x000a_Example:_x000a_Doe, John M." prompt="Ensure the name fits the format shown in the header." sqref="Q10:T11"/>
    <dataValidation type="custom" allowBlank="1" showInputMessage="1" showErrorMessage="1" errorTitle="Input Error" error="Please only use letters, spaces, commas, and periods._x000a__x000a_Example:_x000a_Doe, John M." prompt="Ensure the name fits the format shown in the header, otherwise errors will be displayed on the &quot;Travel Plan&quot; tab." sqref="A4:E5">
      <formula1>ISTEXT(A4)</formula1>
    </dataValidation>
    <dataValidation type="custom" allowBlank="1" showInputMessage="1" showErrorMessage="1" errorTitle="Input Error" error="Please only use numbers. Do not use spaces, parentheses, or hyphens." sqref="G7:J8">
      <formula1>ISNUMBER(G7)</formula1>
    </dataValidation>
    <dataValidation type="list" allowBlank="1" showInputMessage="1" showErrorMessage="1" sqref="E92:H92 E95:H95">
      <formula1>"Approved, Denied"</formula1>
    </dataValidation>
    <dataValidation type="list" allowBlank="1" showInputMessage="1" showErrorMessage="1" sqref="E86 E88 E90">
      <formula1>"Recommended, Not Recommended"</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 or 'N/A' if your state does not require an inspection._x000a__x000a_For Example:_x000a_February 2020 would be entered as &quot;Feb 2020&quot;" sqref="E69:G69 E54:G54">
      <formula1>OR(E54="N/A", AND(ISNUMBER(E54), OR(LEN(E54)=0,LEN(E54)=5), OR(LEN(E54)=0, E54&gt;=VALUE(TEXT(TODAY(),"MMM-YYYY")))))</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26:O26">
      <formula1>Duties</formula1>
    </dataValidation>
  </dataValidations>
  <printOptions horizontalCentered="1" verticalCentered="1"/>
  <pageMargins left="0.25" right="0.25" top="0.75" bottom="0.75" header="0.3" footer="0.3"/>
  <pageSetup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9" r:id="rId4" name="Button 91">
              <controlPr defaultSize="0" print="0" autoFill="0" autoPict="0" macro="[0]!SNCOIC_Signature">
                <anchor moveWithCells="1" sizeWithCells="1">
                  <from>
                    <xdr:col>17</xdr:col>
                    <xdr:colOff>19050</xdr:colOff>
                    <xdr:row>85</xdr:row>
                    <xdr:rowOff>9525</xdr:rowOff>
                  </from>
                  <to>
                    <xdr:col>19</xdr:col>
                    <xdr:colOff>361950</xdr:colOff>
                    <xdr:row>85</xdr:row>
                    <xdr:rowOff>190500</xdr:rowOff>
                  </to>
                </anchor>
              </controlPr>
            </control>
          </mc:Choice>
        </mc:AlternateContent>
        <mc:AlternateContent xmlns:mc="http://schemas.openxmlformats.org/markup-compatibility/2006">
          <mc:Choice Requires="x14">
            <control shapeId="2140" r:id="rId5" name="Button 92">
              <controlPr defaultSize="0" print="0" autoFill="0" autoPict="0" macro="[0]!OIC_Signature">
                <anchor moveWithCells="1" sizeWithCells="1">
                  <from>
                    <xdr:col>17</xdr:col>
                    <xdr:colOff>19050</xdr:colOff>
                    <xdr:row>87</xdr:row>
                    <xdr:rowOff>9525</xdr:rowOff>
                  </from>
                  <to>
                    <xdr:col>19</xdr:col>
                    <xdr:colOff>361950</xdr:colOff>
                    <xdr:row>87</xdr:row>
                    <xdr:rowOff>190500</xdr:rowOff>
                  </to>
                </anchor>
              </controlPr>
            </control>
          </mc:Choice>
        </mc:AlternateContent>
        <mc:AlternateContent xmlns:mc="http://schemas.openxmlformats.org/markup-compatibility/2006">
          <mc:Choice Requires="x14">
            <control shapeId="2142" r:id="rId6" name="Button 94">
              <controlPr defaultSize="0" print="0" autoFill="0" autoPict="0" macro="[0]!FirstSgt_Signature">
                <anchor moveWithCells="1" sizeWithCells="1">
                  <from>
                    <xdr:col>17</xdr:col>
                    <xdr:colOff>19050</xdr:colOff>
                    <xdr:row>89</xdr:row>
                    <xdr:rowOff>9525</xdr:rowOff>
                  </from>
                  <to>
                    <xdr:col>19</xdr:col>
                    <xdr:colOff>361950</xdr:colOff>
                    <xdr:row>89</xdr:row>
                    <xdr:rowOff>190500</xdr:rowOff>
                  </to>
                </anchor>
              </controlPr>
            </control>
          </mc:Choice>
        </mc:AlternateContent>
        <mc:AlternateContent xmlns:mc="http://schemas.openxmlformats.org/markup-compatibility/2006">
          <mc:Choice Requires="x14">
            <control shapeId="2143" r:id="rId7" name="Button 95">
              <controlPr defaultSize="0" print="0" autoFill="0" autoPict="0" macro="[0]!CC_Signature">
                <anchor moveWithCells="1" sizeWithCells="1">
                  <from>
                    <xdr:col>17</xdr:col>
                    <xdr:colOff>19050</xdr:colOff>
                    <xdr:row>91</xdr:row>
                    <xdr:rowOff>9525</xdr:rowOff>
                  </from>
                  <to>
                    <xdr:col>19</xdr:col>
                    <xdr:colOff>361950</xdr:colOff>
                    <xdr:row>91</xdr:row>
                    <xdr:rowOff>190500</xdr:rowOff>
                  </to>
                </anchor>
              </controlPr>
            </control>
          </mc:Choice>
        </mc:AlternateContent>
        <mc:AlternateContent xmlns:mc="http://schemas.openxmlformats.org/markup-compatibility/2006">
          <mc:Choice Requires="x14">
            <control shapeId="2145" r:id="rId8" name="Button 97">
              <controlPr defaultSize="0" print="0" autoFill="0" autoPict="0" macro="[0]!CO_Signature">
                <anchor moveWithCells="1" sizeWithCells="1">
                  <from>
                    <xdr:col>17</xdr:col>
                    <xdr:colOff>19050</xdr:colOff>
                    <xdr:row>94</xdr:row>
                    <xdr:rowOff>9525</xdr:rowOff>
                  </from>
                  <to>
                    <xdr:col>19</xdr:col>
                    <xdr:colOff>361950</xdr:colOff>
                    <xdr:row>94</xdr:row>
                    <xdr:rowOff>190500</xdr:rowOff>
                  </to>
                </anchor>
              </controlPr>
            </control>
          </mc:Choice>
        </mc:AlternateContent>
        <mc:AlternateContent xmlns:mc="http://schemas.openxmlformats.org/markup-compatibility/2006">
          <mc:Choice Requires="x14">
            <control shapeId="2146" r:id="rId9" name="Button 98">
              <controlPr defaultSize="0" print="0" autoFill="0" autoPict="0" macro="[0]!Finalize_HARP">
                <anchor moveWithCells="1" sizeWithCells="1">
                  <from>
                    <xdr:col>10</xdr:col>
                    <xdr:colOff>133350</xdr:colOff>
                    <xdr:row>76</xdr:row>
                    <xdr:rowOff>57150</xdr:rowOff>
                  </from>
                  <to>
                    <xdr:col>13</xdr:col>
                    <xdr:colOff>95250</xdr:colOff>
                    <xdr:row>78</xdr:row>
                    <xdr:rowOff>95250</xdr:rowOff>
                  </to>
                </anchor>
              </controlPr>
            </control>
          </mc:Choice>
        </mc:AlternateContent>
        <mc:AlternateContent xmlns:mc="http://schemas.openxmlformats.org/markup-compatibility/2006">
          <mc:Choice Requires="x14">
            <control shapeId="2151" r:id="rId10" name="Button 103">
              <controlPr defaultSize="0" print="0" autoFill="0" autoPict="0" macro="[0]!Reset_HARP">
                <anchor moveWithCells="1" sizeWithCells="1">
                  <from>
                    <xdr:col>16</xdr:col>
                    <xdr:colOff>200025</xdr:colOff>
                    <xdr:row>0</xdr:row>
                    <xdr:rowOff>28575</xdr:rowOff>
                  </from>
                  <to>
                    <xdr:col>19</xdr:col>
                    <xdr:colOff>161925</xdr:colOff>
                    <xdr:row>1</xdr:row>
                    <xdr:rowOff>114300</xdr:rowOff>
                  </to>
                </anchor>
              </controlPr>
            </control>
          </mc:Choice>
        </mc:AlternateContent>
        <mc:AlternateContent xmlns:mc="http://schemas.openxmlformats.org/markup-compatibility/2006">
          <mc:Choice Requires="x14">
            <control shapeId="2154" r:id="rId11" name="Check Box 106">
              <controlPr defaultSize="0" autoFill="0" autoLine="0" autoPict="0" macro="[0]!CheckBox106_Click" altText="">
                <anchor moveWithCells="1">
                  <from>
                    <xdr:col>4</xdr:col>
                    <xdr:colOff>76200</xdr:colOff>
                    <xdr:row>57</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155" r:id="rId12" name="Check Box 107">
              <controlPr defaultSize="0" autoFill="0" autoLine="0" autoPict="0" macro="[0]!CheckBox107_Click" altText="">
                <anchor moveWithCells="1">
                  <from>
                    <xdr:col>5</xdr:col>
                    <xdr:colOff>76200</xdr:colOff>
                    <xdr:row>57</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2" r:id="rId13" name="Check Box 164">
              <controlPr defaultSize="0" autoFill="0" autoLine="0" autoPict="0" macro="[0]!CheckBox164_Click" altText="">
                <anchor moveWithCells="1">
                  <from>
                    <xdr:col>4</xdr:col>
                    <xdr:colOff>76200</xdr:colOff>
                    <xdr:row>58</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3" r:id="rId14" name="Check Box 165">
              <controlPr defaultSize="0" autoFill="0" autoLine="0" autoPict="0" macro="[0]!CheckBox165_Click" altText="">
                <anchor moveWithCells="1">
                  <from>
                    <xdr:col>5</xdr:col>
                    <xdr:colOff>76200</xdr:colOff>
                    <xdr:row>58</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4" r:id="rId15" name="Check Box 166">
              <controlPr defaultSize="0" autoFill="0" autoLine="0" autoPict="0" macro="[0]!CheckBox166_Click" altText="">
                <anchor moveWithCells="1">
                  <from>
                    <xdr:col>4</xdr:col>
                    <xdr:colOff>76200</xdr:colOff>
                    <xdr:row>59</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5" r:id="rId16" name="Check Box 167">
              <controlPr defaultSize="0" autoFill="0" autoLine="0" autoPict="0" macro="[0]!CheckBox167_Click" altText="">
                <anchor moveWithCells="1">
                  <from>
                    <xdr:col>5</xdr:col>
                    <xdr:colOff>76200</xdr:colOff>
                    <xdr:row>59</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6" r:id="rId17" name="Check Box 168">
              <controlPr defaultSize="0" autoFill="0" autoLine="0" autoPict="0" macro="[0]!CheckBox168_Click" altText="">
                <anchor moveWithCells="1">
                  <from>
                    <xdr:col>4</xdr:col>
                    <xdr:colOff>76200</xdr:colOff>
                    <xdr:row>60</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7" r:id="rId18" name="Check Box 169">
              <controlPr defaultSize="0" autoFill="0" autoLine="0" autoPict="0" macro="[0]!CheckBox169_Click" altText="">
                <anchor moveWithCells="1">
                  <from>
                    <xdr:col>5</xdr:col>
                    <xdr:colOff>76200</xdr:colOff>
                    <xdr:row>60</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8" r:id="rId19" name="Check Box 170">
              <controlPr defaultSize="0" autoFill="0" autoLine="0" autoPict="0" macro="[0]!CheckBox170_Click" altText="">
                <anchor moveWithCells="1">
                  <from>
                    <xdr:col>4</xdr:col>
                    <xdr:colOff>76200</xdr:colOff>
                    <xdr:row>61</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9" r:id="rId20" name="Check Box 171">
              <controlPr defaultSize="0" autoFill="0" autoLine="0" autoPict="0" macro="[0]!CheckBox171_Click" altText="">
                <anchor moveWithCells="1">
                  <from>
                    <xdr:col>5</xdr:col>
                    <xdr:colOff>76200</xdr:colOff>
                    <xdr:row>61</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0" r:id="rId21" name="Check Box 172">
              <controlPr defaultSize="0" autoFill="0" autoLine="0" autoPict="0" macro="[0]!CheckBox172_Click" altText="">
                <anchor moveWithCells="1">
                  <from>
                    <xdr:col>4</xdr:col>
                    <xdr:colOff>76200</xdr:colOff>
                    <xdr:row>62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21" r:id="rId22" name="Check Box 173">
              <controlPr defaultSize="0" autoFill="0" autoLine="0" autoPict="0" macro="[0]!CheckBox173_Click" altText="">
                <anchor moveWithCells="1">
                  <from>
                    <xdr:col>5</xdr:col>
                    <xdr:colOff>76200</xdr:colOff>
                    <xdr:row>62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2" r:id="rId23" name="Check Box 174">
              <controlPr defaultSize="0" autoFill="0" autoLine="0" autoPict="0" macro="[0]!CheckBox174_Click" altText="">
                <anchor moveWithCells="1">
                  <from>
                    <xdr:col>11</xdr:col>
                    <xdr:colOff>76200</xdr:colOff>
                    <xdr:row>57</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3" r:id="rId24" name="Check Box 175">
              <controlPr defaultSize="0" autoFill="0" autoLine="0" autoPict="0" macro="[0]!CheckBox175_Click" altText="">
                <anchor moveWithCells="1">
                  <from>
                    <xdr:col>12</xdr:col>
                    <xdr:colOff>76200</xdr:colOff>
                    <xdr:row>57</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4" r:id="rId25" name="Check Box 176">
              <controlPr defaultSize="0" autoFill="0" autoLine="0" autoPict="0" macro="[0]!CheckBox176_Click" altText="">
                <anchor moveWithCells="1">
                  <from>
                    <xdr:col>11</xdr:col>
                    <xdr:colOff>76200</xdr:colOff>
                    <xdr:row>58</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5" r:id="rId26" name="Check Box 177">
              <controlPr defaultSize="0" autoFill="0" autoLine="0" autoPict="0" macro="[0]!CheckBox177_Click" altText="">
                <anchor moveWithCells="1">
                  <from>
                    <xdr:col>12</xdr:col>
                    <xdr:colOff>76200</xdr:colOff>
                    <xdr:row>58</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6" r:id="rId27" name="Check Box 178">
              <controlPr defaultSize="0" autoFill="0" autoLine="0" autoPict="0" macro="[0]!CheckBox178_Click" altText="">
                <anchor moveWithCells="1">
                  <from>
                    <xdr:col>11</xdr:col>
                    <xdr:colOff>76200</xdr:colOff>
                    <xdr:row>59</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7" r:id="rId28" name="Check Box 179">
              <controlPr defaultSize="0" autoFill="0" autoLine="0" autoPict="0" macro="[0]!CheckBox179_Click" altText="">
                <anchor moveWithCells="1">
                  <from>
                    <xdr:col>12</xdr:col>
                    <xdr:colOff>76200</xdr:colOff>
                    <xdr:row>59</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8" r:id="rId29" name="Check Box 180">
              <controlPr defaultSize="0" autoFill="0" autoLine="0" autoPict="0" macro="[0]!CheckBox180_Click" altText="">
                <anchor moveWithCells="1">
                  <from>
                    <xdr:col>11</xdr:col>
                    <xdr:colOff>76200</xdr:colOff>
                    <xdr:row>60</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9" r:id="rId30" name="Check Box 181">
              <controlPr defaultSize="0" autoFill="0" autoLine="0" autoPict="0" macro="[0]!CheckBox181_Click" altText="">
                <anchor moveWithCells="1">
                  <from>
                    <xdr:col>12</xdr:col>
                    <xdr:colOff>76200</xdr:colOff>
                    <xdr:row>60</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0" r:id="rId31" name="Check Box 182">
              <controlPr defaultSize="0" autoFill="0" autoLine="0" autoPict="0" macro="[0]!CheckBox182_Click" altText="">
                <anchor moveWithCells="1">
                  <from>
                    <xdr:col>11</xdr:col>
                    <xdr:colOff>76200</xdr:colOff>
                    <xdr:row>61</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1" r:id="rId32" name="Check Box 183">
              <controlPr defaultSize="0" autoFill="0" autoLine="0" autoPict="0" macro="[0]!CheckBox183_Click" altText="">
                <anchor moveWithCells="1">
                  <from>
                    <xdr:col>12</xdr:col>
                    <xdr:colOff>76200</xdr:colOff>
                    <xdr:row>61</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2" r:id="rId33" name="Check Box 184">
              <controlPr defaultSize="0" autoFill="0" autoLine="0" autoPict="0" macro="[0]!CheckBox184_Click" altText="">
                <anchor moveWithCells="1">
                  <from>
                    <xdr:col>11</xdr:col>
                    <xdr:colOff>76200</xdr:colOff>
                    <xdr:row>62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3" r:id="rId34" name="Check Box 185">
              <controlPr defaultSize="0" autoFill="0" autoLine="0" autoPict="0" macro="[0]!CheckBox185_Click" altText="">
                <anchor moveWithCells="1">
                  <from>
                    <xdr:col>12</xdr:col>
                    <xdr:colOff>76200</xdr:colOff>
                    <xdr:row>62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4" r:id="rId35" name="Check Box 186">
              <controlPr defaultSize="0" autoFill="0" autoLine="0" autoPict="0" macro="[0]!CheckBox186_Click" altText="">
                <anchor moveWithCells="1">
                  <from>
                    <xdr:col>18</xdr:col>
                    <xdr:colOff>76200</xdr:colOff>
                    <xdr:row>57</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5" r:id="rId36" name="Check Box 187">
              <controlPr defaultSize="0" autoFill="0" autoLine="0" autoPict="0" macro="[0]!CheckBox187_Click" altText="">
                <anchor moveWithCells="1">
                  <from>
                    <xdr:col>19</xdr:col>
                    <xdr:colOff>76200</xdr:colOff>
                    <xdr:row>57</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6" r:id="rId37" name="Check Box 188">
              <controlPr defaultSize="0" autoFill="0" autoLine="0" autoPict="0" macro="[0]!CheckBox188_Click" altText="">
                <anchor moveWithCells="1">
                  <from>
                    <xdr:col>18</xdr:col>
                    <xdr:colOff>76200</xdr:colOff>
                    <xdr:row>58</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7" r:id="rId38" name="Check Box 189">
              <controlPr defaultSize="0" autoFill="0" autoLine="0" autoPict="0" macro="[0]!CheckBox189_Click" altText="">
                <anchor moveWithCells="1">
                  <from>
                    <xdr:col>19</xdr:col>
                    <xdr:colOff>76200</xdr:colOff>
                    <xdr:row>58</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8" r:id="rId39" name="Check Box 190">
              <controlPr defaultSize="0" autoFill="0" autoLine="0" autoPict="0" macro="[0]!CheckBox190_Click" altText="">
                <anchor moveWithCells="1">
                  <from>
                    <xdr:col>18</xdr:col>
                    <xdr:colOff>76200</xdr:colOff>
                    <xdr:row>59</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9" r:id="rId40" name="Check Box 191">
              <controlPr defaultSize="0" autoFill="0" autoLine="0" autoPict="0" macro="[0]!CheckBox191_Click" altText="">
                <anchor moveWithCells="1">
                  <from>
                    <xdr:col>19</xdr:col>
                    <xdr:colOff>76200</xdr:colOff>
                    <xdr:row>59</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0" r:id="rId41" name="Check Box 192">
              <controlPr defaultSize="0" autoFill="0" autoLine="0" autoPict="0" macro="[0]!CheckBox192_Click" altText="">
                <anchor moveWithCells="1">
                  <from>
                    <xdr:col>18</xdr:col>
                    <xdr:colOff>76200</xdr:colOff>
                    <xdr:row>60</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1" r:id="rId42" name="Check Box 193">
              <controlPr defaultSize="0" autoFill="0" autoLine="0" autoPict="0" macro="[0]!CheckBox193_Click" altText="">
                <anchor moveWithCells="1">
                  <from>
                    <xdr:col>19</xdr:col>
                    <xdr:colOff>76200</xdr:colOff>
                    <xdr:row>60</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2" r:id="rId43" name="Check Box 194">
              <controlPr defaultSize="0" autoFill="0" autoLine="0" autoPict="0" macro="[0]!CheckBox194_Click" altText="">
                <anchor moveWithCells="1">
                  <from>
                    <xdr:col>18</xdr:col>
                    <xdr:colOff>76200</xdr:colOff>
                    <xdr:row>61</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3" r:id="rId44" name="Check Box 195">
              <controlPr defaultSize="0" autoFill="0" autoLine="0" autoPict="0" macro="[0]!CheckBox195_Click" altText="">
                <anchor moveWithCells="1">
                  <from>
                    <xdr:col>19</xdr:col>
                    <xdr:colOff>76200</xdr:colOff>
                    <xdr:row>61</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4" r:id="rId45" name="Check Box 196">
              <controlPr defaultSize="0" autoFill="0" autoLine="0" autoPict="0" macro="[0]!CheckBox196_Click" altText="">
                <anchor moveWithCells="1">
                  <from>
                    <xdr:col>18</xdr:col>
                    <xdr:colOff>76200</xdr:colOff>
                    <xdr:row>62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5" r:id="rId46" name="Check Box 197">
              <controlPr defaultSize="0" autoFill="0" autoLine="0" autoPict="0" macro="[0]!CheckBox197_Click" altText="">
                <anchor moveWithCells="1">
                  <from>
                    <xdr:col>19</xdr:col>
                    <xdr:colOff>76200</xdr:colOff>
                    <xdr:row>62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6" r:id="rId47" name="Check Box 198">
              <controlPr defaultSize="0" autoFill="0" autoLine="0" autoPict="0" macro="[0]!CheckBox198_Click" altText="">
                <anchor moveWithCells="1">
                  <from>
                    <xdr:col>4</xdr:col>
                    <xdr:colOff>76200</xdr:colOff>
                    <xdr:row>72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7" r:id="rId48" name="Check Box 199">
              <controlPr defaultSize="0" autoFill="0" autoLine="0" autoPict="0" macro="[0]!CheckBox199_Click" altText="">
                <anchor moveWithCells="1">
                  <from>
                    <xdr:col>5</xdr:col>
                    <xdr:colOff>76200</xdr:colOff>
                    <xdr:row>72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48" r:id="rId49" name="Check Box 200">
              <controlPr defaultSize="0" autoFill="0" autoLine="0" autoPict="0" macro="[0]!CheckBox200_Click" altText="">
                <anchor moveWithCells="1">
                  <from>
                    <xdr:col>4</xdr:col>
                    <xdr:colOff>76200</xdr:colOff>
                    <xdr:row>73</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9" r:id="rId50" name="Check Box 201">
              <controlPr defaultSize="0" autoFill="0" autoLine="0" autoPict="0" macro="[0]!CheckBox201_Click" altText="">
                <anchor moveWithCells="1">
                  <from>
                    <xdr:col>5</xdr:col>
                    <xdr:colOff>76200</xdr:colOff>
                    <xdr:row>73</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0" r:id="rId51" name="Check Box 202">
              <controlPr defaultSize="0" autoFill="0" autoLine="0" autoPict="0" macro="[0]!CheckBox202_Click" altText="">
                <anchor moveWithCells="1">
                  <from>
                    <xdr:col>4</xdr:col>
                    <xdr:colOff>76200</xdr:colOff>
                    <xdr:row>74</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1" r:id="rId52" name="Check Box 203">
              <controlPr defaultSize="0" autoFill="0" autoLine="0" autoPict="0" macro="[0]!CheckBox203_Click" altText="">
                <anchor moveWithCells="1">
                  <from>
                    <xdr:col>5</xdr:col>
                    <xdr:colOff>76200</xdr:colOff>
                    <xdr:row>74</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2" r:id="rId53" name="Check Box 204">
              <controlPr defaultSize="0" autoFill="0" autoLine="0" autoPict="0" macro="[0]!CheckBox204_Click" altText="">
                <anchor moveWithCells="1">
                  <from>
                    <xdr:col>4</xdr:col>
                    <xdr:colOff>76200</xdr:colOff>
                    <xdr:row>75</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3" r:id="rId54" name="Check Box 205">
              <controlPr defaultSize="0" autoFill="0" autoLine="0" autoPict="0" macro="[0]!CheckBox205_Click" altText="">
                <anchor moveWithCells="1">
                  <from>
                    <xdr:col>5</xdr:col>
                    <xdr:colOff>76200</xdr:colOff>
                    <xdr:row>75</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4" r:id="rId55" name="Check Box 206">
              <controlPr defaultSize="0" autoFill="0" autoLine="0" autoPict="0" macro="[0]!CheckBox206_Click" altText="">
                <anchor moveWithCells="1">
                  <from>
                    <xdr:col>11</xdr:col>
                    <xdr:colOff>76200</xdr:colOff>
                    <xdr:row>72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5" r:id="rId56" name="Check Box 207">
              <controlPr defaultSize="0" autoFill="0" autoLine="0" autoPict="0" macro="[0]!CheckBox207_Click" altText="">
                <anchor moveWithCells="1">
                  <from>
                    <xdr:col>12</xdr:col>
                    <xdr:colOff>76200</xdr:colOff>
                    <xdr:row>72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6" r:id="rId57" name="Check Box 208">
              <controlPr defaultSize="0" autoFill="0" autoLine="0" autoPict="0" macro="[0]!CheckBox208_Click" altText="">
                <anchor moveWithCells="1">
                  <from>
                    <xdr:col>11</xdr:col>
                    <xdr:colOff>76200</xdr:colOff>
                    <xdr:row>73</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7" r:id="rId58" name="Check Box 209">
              <controlPr defaultSize="0" autoFill="0" autoLine="0" autoPict="0" macro="[0]!CheckBox209_Click" altText="">
                <anchor moveWithCells="1">
                  <from>
                    <xdr:col>12</xdr:col>
                    <xdr:colOff>76200</xdr:colOff>
                    <xdr:row>73</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8" r:id="rId59" name="Check Box 210">
              <controlPr defaultSize="0" autoFill="0" autoLine="0" autoPict="0" macro="[0]!CheckBox210_Click" altText="">
                <anchor moveWithCells="1">
                  <from>
                    <xdr:col>11</xdr:col>
                    <xdr:colOff>76200</xdr:colOff>
                    <xdr:row>74</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9" r:id="rId60" name="Check Box 211">
              <controlPr defaultSize="0" autoFill="0" autoLine="0" autoPict="0" macro="[0]!CheckBox211_Click" altText="">
                <anchor moveWithCells="1">
                  <from>
                    <xdr:col>12</xdr:col>
                    <xdr:colOff>76200</xdr:colOff>
                    <xdr:row>74</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0" r:id="rId61" name="Check Box 212">
              <controlPr defaultSize="0" autoFill="0" autoLine="0" autoPict="0" macro="[0]!CheckBox212_Click" altText="">
                <anchor moveWithCells="1">
                  <from>
                    <xdr:col>11</xdr:col>
                    <xdr:colOff>76200</xdr:colOff>
                    <xdr:row>75</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61" r:id="rId62" name="Check Box 213">
              <controlPr defaultSize="0" autoFill="0" autoLine="0" autoPict="0" macro="[0]!CheckBox213_Click" altText="">
                <anchor moveWithCells="1">
                  <from>
                    <xdr:col>12</xdr:col>
                    <xdr:colOff>76200</xdr:colOff>
                    <xdr:row>75</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2" r:id="rId63" name="Check Box 214">
              <controlPr defaultSize="0" autoFill="0" autoLine="0" autoPict="0" macro="[0]!CheckBox214_Click" altText="">
                <anchor moveWithCells="1">
                  <from>
                    <xdr:col>18</xdr:col>
                    <xdr:colOff>76200</xdr:colOff>
                    <xdr:row>72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3" r:id="rId64" name="Check Box 215">
              <controlPr defaultSize="0" autoFill="0" autoLine="0" autoPict="0" macro="[0]!CheckBox215_Click" altText="">
                <anchor moveWithCells="1">
                  <from>
                    <xdr:col>19</xdr:col>
                    <xdr:colOff>76200</xdr:colOff>
                    <xdr:row>72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4" r:id="rId65" name="Check Box 216">
              <controlPr defaultSize="0" autoFill="0" autoLine="0" autoPict="0" macro="[0]!CheckBox216_Click" altText="">
                <anchor moveWithCells="1">
                  <from>
                    <xdr:col>18</xdr:col>
                    <xdr:colOff>76200</xdr:colOff>
                    <xdr:row>73</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5" r:id="rId66" name="Check Box 217">
              <controlPr defaultSize="0" autoFill="0" autoLine="0" autoPict="0" macro="[0]!CheckBox217_Click" altText="">
                <anchor moveWithCells="1">
                  <from>
                    <xdr:col>19</xdr:col>
                    <xdr:colOff>76200</xdr:colOff>
                    <xdr:row>73</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6" r:id="rId67" name="Check Box 218">
              <controlPr defaultSize="0" autoFill="0" autoLine="0" autoPict="0" macro="[0]!CheckBox218_Click" altText="">
                <anchor moveWithCells="1">
                  <from>
                    <xdr:col>18</xdr:col>
                    <xdr:colOff>76200</xdr:colOff>
                    <xdr:row>74</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7" r:id="rId68" name="Check Box 219">
              <controlPr defaultSize="0" autoFill="0" autoLine="0" autoPict="0" macro="[0]!CheckBox219_Click" altText="">
                <anchor moveWithCells="1">
                  <from>
                    <xdr:col>19</xdr:col>
                    <xdr:colOff>76200</xdr:colOff>
                    <xdr:row>74</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8" r:id="rId69" name="Check Box 14">
              <controlPr defaultSize="0" autoFill="0" autoLine="0" autoPict="0" macro="[0]!CheckBox14_Click" altText="">
                <anchor moveWithCells="1">
                  <from>
                    <xdr:col>0</xdr:col>
                    <xdr:colOff>66675</xdr:colOff>
                    <xdr:row>13</xdr:row>
                    <xdr:rowOff>9525</xdr:rowOff>
                  </from>
                  <to>
                    <xdr:col>0</xdr:col>
                    <xdr:colOff>361950</xdr:colOff>
                    <xdr:row>13</xdr:row>
                    <xdr:rowOff>161925</xdr:rowOff>
                  </to>
                </anchor>
              </controlPr>
            </control>
          </mc:Choice>
        </mc:AlternateContent>
        <mc:AlternateContent xmlns:mc="http://schemas.openxmlformats.org/markup-compatibility/2006">
          <mc:Choice Requires="x14">
            <control shapeId="2279" r:id="rId70" name="Check Box 15">
              <controlPr defaultSize="0" autoFill="0" autoLine="0" autoPict="0" macro="[0]!CheckBox15_Click" altText="">
                <anchor moveWithCells="1">
                  <from>
                    <xdr:col>0</xdr:col>
                    <xdr:colOff>66675</xdr:colOff>
                    <xdr:row>14</xdr:row>
                    <xdr:rowOff>9525</xdr:rowOff>
                  </from>
                  <to>
                    <xdr:col>0</xdr:col>
                    <xdr:colOff>361950</xdr:colOff>
                    <xdr:row>14</xdr:row>
                    <xdr:rowOff>161925</xdr:rowOff>
                  </to>
                </anchor>
              </controlPr>
            </control>
          </mc:Choice>
        </mc:AlternateContent>
        <mc:AlternateContent xmlns:mc="http://schemas.openxmlformats.org/markup-compatibility/2006">
          <mc:Choice Requires="x14">
            <control shapeId="2280" r:id="rId71" name="Check Box 16">
              <controlPr defaultSize="0" autoFill="0" autoLine="0" autoPict="0" macro="[0]!CheckBox16_Click" altText="">
                <anchor moveWithCells="1">
                  <from>
                    <xdr:col>0</xdr:col>
                    <xdr:colOff>66675</xdr:colOff>
                    <xdr:row>15</xdr:row>
                    <xdr:rowOff>9525</xdr:rowOff>
                  </from>
                  <to>
                    <xdr:col>0</xdr:col>
                    <xdr:colOff>361950</xdr:colOff>
                    <xdr:row>15</xdr:row>
                    <xdr:rowOff>161925</xdr:rowOff>
                  </to>
                </anchor>
              </controlPr>
            </control>
          </mc:Choice>
        </mc:AlternateContent>
        <mc:AlternateContent xmlns:mc="http://schemas.openxmlformats.org/markup-compatibility/2006">
          <mc:Choice Requires="x14">
            <control shapeId="2281" r:id="rId72" name="Check Box 17">
              <controlPr defaultSize="0" autoFill="0" autoLine="0" autoPict="0" macro="[0]!CheckBox17_Click" altText="">
                <anchor moveWithCells="1">
                  <from>
                    <xdr:col>0</xdr:col>
                    <xdr:colOff>66675</xdr:colOff>
                    <xdr:row>16</xdr:row>
                    <xdr:rowOff>9525</xdr:rowOff>
                  </from>
                  <to>
                    <xdr:col>0</xdr:col>
                    <xdr:colOff>361950</xdr:colOff>
                    <xdr:row>16</xdr:row>
                    <xdr:rowOff>161925</xdr:rowOff>
                  </to>
                </anchor>
              </controlPr>
            </control>
          </mc:Choice>
        </mc:AlternateContent>
        <mc:AlternateContent xmlns:mc="http://schemas.openxmlformats.org/markup-compatibility/2006">
          <mc:Choice Requires="x14">
            <control shapeId="2282" r:id="rId73" name="Check Box 18">
              <controlPr defaultSize="0" autoFill="0" autoLine="0" autoPict="0" macro="[0]!CheckBox18_Click" altText="">
                <anchor moveWithCells="1">
                  <from>
                    <xdr:col>0</xdr:col>
                    <xdr:colOff>66675</xdr:colOff>
                    <xdr:row>17</xdr:row>
                    <xdr:rowOff>9525</xdr:rowOff>
                  </from>
                  <to>
                    <xdr:col>0</xdr:col>
                    <xdr:colOff>361950</xdr:colOff>
                    <xdr:row>18</xdr:row>
                    <xdr:rowOff>152400</xdr:rowOff>
                  </to>
                </anchor>
              </controlPr>
            </control>
          </mc:Choice>
        </mc:AlternateContent>
        <mc:AlternateContent xmlns:mc="http://schemas.openxmlformats.org/markup-compatibility/2006">
          <mc:Choice Requires="x14">
            <control shapeId="2283" r:id="rId74" name="Check Box 20">
              <controlPr defaultSize="0" autoFill="0" autoLine="0" autoPict="0" macro="[0]!CheckBox20_Click" altText="">
                <anchor moveWithCells="1">
                  <from>
                    <xdr:col>0</xdr:col>
                    <xdr:colOff>66675</xdr:colOff>
                    <xdr:row>19</xdr:row>
                    <xdr:rowOff>9525</xdr:rowOff>
                  </from>
                  <to>
                    <xdr:col>0</xdr:col>
                    <xdr:colOff>361950</xdr:colOff>
                    <xdr:row>20</xdr:row>
                    <xdr:rowOff>0</xdr:rowOff>
                  </to>
                </anchor>
              </controlPr>
            </control>
          </mc:Choice>
        </mc:AlternateContent>
        <mc:AlternateContent xmlns:mc="http://schemas.openxmlformats.org/markup-compatibility/2006">
          <mc:Choice Requires="x14">
            <control shapeId="2284" r:id="rId75" name="Check Box 21">
              <controlPr defaultSize="0" autoFill="0" autoLine="0" autoPict="0" macro="[0]!CheckBox21_Click" altText="">
                <anchor moveWithCells="1">
                  <from>
                    <xdr:col>0</xdr:col>
                    <xdr:colOff>66675</xdr:colOff>
                    <xdr:row>20</xdr:row>
                    <xdr:rowOff>9525</xdr:rowOff>
                  </from>
                  <to>
                    <xdr:col>0</xdr:col>
                    <xdr:colOff>361950</xdr:colOff>
                    <xdr:row>20</xdr:row>
                    <xdr:rowOff>161925</xdr:rowOff>
                  </to>
                </anchor>
              </controlPr>
            </control>
          </mc:Choice>
        </mc:AlternateContent>
        <mc:AlternateContent xmlns:mc="http://schemas.openxmlformats.org/markup-compatibility/2006">
          <mc:Choice Requires="x14">
            <control shapeId="2285" r:id="rId76" name="Check Box 22">
              <controlPr defaultSize="0" autoFill="0" autoLine="0" autoPict="0" macro="[0]!CheckBox22_Click" altText="">
                <anchor moveWithCells="1">
                  <from>
                    <xdr:col>0</xdr:col>
                    <xdr:colOff>66675</xdr:colOff>
                    <xdr:row>21</xdr:row>
                    <xdr:rowOff>9525</xdr:rowOff>
                  </from>
                  <to>
                    <xdr:col>0</xdr:col>
                    <xdr:colOff>361950</xdr:colOff>
                    <xdr:row>22</xdr:row>
                    <xdr:rowOff>0</xdr:rowOff>
                  </to>
                </anchor>
              </controlPr>
            </control>
          </mc:Choice>
        </mc:AlternateContent>
        <mc:AlternateContent xmlns:mc="http://schemas.openxmlformats.org/markup-compatibility/2006">
          <mc:Choice Requires="x14">
            <control shapeId="2286" r:id="rId77" name="Check Box 23">
              <controlPr defaultSize="0" autoFill="0" autoLine="0" autoPict="0" macro="[0]!CheckBox23_Click" altText="">
                <anchor moveWithCells="1">
                  <from>
                    <xdr:col>0</xdr:col>
                    <xdr:colOff>66675</xdr:colOff>
                    <xdr:row>22</xdr:row>
                    <xdr:rowOff>9525</xdr:rowOff>
                  </from>
                  <to>
                    <xdr:col>0</xdr:col>
                    <xdr:colOff>361950</xdr:colOff>
                    <xdr:row>22</xdr:row>
                    <xdr:rowOff>161925</xdr:rowOff>
                  </to>
                </anchor>
              </controlPr>
            </control>
          </mc:Choice>
        </mc:AlternateContent>
        <mc:AlternateContent xmlns:mc="http://schemas.openxmlformats.org/markup-compatibility/2006">
          <mc:Choice Requires="x14">
            <control shapeId="2287" r:id="rId78" name="Check Box 24">
              <controlPr defaultSize="0" autoFill="0" autoLine="0" autoPict="0" macro="[0]!CheckBox24_Click" altText="">
                <anchor moveWithCells="1">
                  <from>
                    <xdr:col>0</xdr:col>
                    <xdr:colOff>66675</xdr:colOff>
                    <xdr:row>23</xdr:row>
                    <xdr:rowOff>9525</xdr:rowOff>
                  </from>
                  <to>
                    <xdr:col>0</xdr:col>
                    <xdr:colOff>361950</xdr:colOff>
                    <xdr:row>23</xdr:row>
                    <xdr:rowOff>161925</xdr:rowOff>
                  </to>
                </anchor>
              </controlPr>
            </control>
          </mc:Choice>
        </mc:AlternateContent>
        <mc:AlternateContent xmlns:mc="http://schemas.openxmlformats.org/markup-compatibility/2006">
          <mc:Choice Requires="x14">
            <control shapeId="2288" r:id="rId79" name="Check Box 25">
              <controlPr defaultSize="0" autoFill="0" autoLine="0" autoPict="0" macro="[0]!CheckBox25_Click" altText="">
                <anchor moveWithCells="1">
                  <from>
                    <xdr:col>0</xdr:col>
                    <xdr:colOff>66675</xdr:colOff>
                    <xdr:row>24</xdr:row>
                    <xdr:rowOff>9525</xdr:rowOff>
                  </from>
                  <to>
                    <xdr:col>0</xdr:col>
                    <xdr:colOff>361950</xdr:colOff>
                    <xdr:row>25</xdr:row>
                    <xdr:rowOff>0</xdr:rowOff>
                  </to>
                </anchor>
              </controlPr>
            </control>
          </mc:Choice>
        </mc:AlternateContent>
        <mc:AlternateContent xmlns:mc="http://schemas.openxmlformats.org/markup-compatibility/2006">
          <mc:Choice Requires="x14">
            <control shapeId="2289" r:id="rId80" name="Check Box 26">
              <controlPr defaultSize="0" autoFill="0" autoLine="0" autoPict="0" macro="[0]!CheckBox26_Click" altText="">
                <anchor moveWithCells="1">
                  <from>
                    <xdr:col>0</xdr:col>
                    <xdr:colOff>66675</xdr:colOff>
                    <xdr:row>25</xdr:row>
                    <xdr:rowOff>9525</xdr:rowOff>
                  </from>
                  <to>
                    <xdr:col>0</xdr:col>
                    <xdr:colOff>361950</xdr:colOff>
                    <xdr:row>25</xdr:row>
                    <xdr:rowOff>161925</xdr:rowOff>
                  </to>
                </anchor>
              </controlPr>
            </control>
          </mc:Choice>
        </mc:AlternateContent>
        <mc:AlternateContent xmlns:mc="http://schemas.openxmlformats.org/markup-compatibility/2006">
          <mc:Choice Requires="x14">
            <control shapeId="2290" r:id="rId81" name="Check Box 27">
              <controlPr defaultSize="0" autoFill="0" autoLine="0" autoPict="0" macro="[0]!CheckBox27_Click" altText="">
                <anchor moveWithCells="1">
                  <from>
                    <xdr:col>0</xdr:col>
                    <xdr:colOff>66675</xdr:colOff>
                    <xdr:row>26</xdr:row>
                    <xdr:rowOff>9525</xdr:rowOff>
                  </from>
                  <to>
                    <xdr:col>0</xdr:col>
                    <xdr:colOff>361950</xdr:colOff>
                    <xdr:row>26</xdr:row>
                    <xdr:rowOff>161925</xdr:rowOff>
                  </to>
                </anchor>
              </controlPr>
            </control>
          </mc:Choice>
        </mc:AlternateContent>
        <mc:AlternateContent xmlns:mc="http://schemas.openxmlformats.org/markup-compatibility/2006">
          <mc:Choice Requires="x14">
            <control shapeId="2291" r:id="rId82" name="Check Box 28">
              <controlPr defaultSize="0" autoFill="0" autoLine="0" autoPict="0" macro="[0]!CheckBox28_Click" altText="">
                <anchor moveWithCells="1">
                  <from>
                    <xdr:col>0</xdr:col>
                    <xdr:colOff>66675</xdr:colOff>
                    <xdr:row>27</xdr:row>
                    <xdr:rowOff>9525</xdr:rowOff>
                  </from>
                  <to>
                    <xdr:col>0</xdr:col>
                    <xdr:colOff>361950</xdr:colOff>
                    <xdr:row>28</xdr:row>
                    <xdr:rowOff>0</xdr:rowOff>
                  </to>
                </anchor>
              </controlPr>
            </control>
          </mc:Choice>
        </mc:AlternateContent>
        <mc:AlternateContent xmlns:mc="http://schemas.openxmlformats.org/markup-compatibility/2006">
          <mc:Choice Requires="x14">
            <control shapeId="2292" r:id="rId83" name="Check Box 29">
              <controlPr defaultSize="0" autoFill="0" autoLine="0" autoPict="0" macro="[0]!CheckBox29_Click" altText="">
                <anchor moveWithCells="1">
                  <from>
                    <xdr:col>0</xdr:col>
                    <xdr:colOff>66675</xdr:colOff>
                    <xdr:row>28</xdr:row>
                    <xdr:rowOff>9525</xdr:rowOff>
                  </from>
                  <to>
                    <xdr:col>0</xdr:col>
                    <xdr:colOff>361950</xdr:colOff>
                    <xdr:row>28</xdr:row>
                    <xdr:rowOff>161925</xdr:rowOff>
                  </to>
                </anchor>
              </controlPr>
            </control>
          </mc:Choice>
        </mc:AlternateContent>
        <mc:AlternateContent xmlns:mc="http://schemas.openxmlformats.org/markup-compatibility/2006">
          <mc:Choice Requires="x14">
            <control shapeId="2293" r:id="rId84" name="Check Box 30">
              <controlPr defaultSize="0" autoFill="0" autoLine="0" autoPict="0" macro="[0]!CheckBox30_Click" altText="">
                <anchor moveWithCells="1">
                  <from>
                    <xdr:col>0</xdr:col>
                    <xdr:colOff>66675</xdr:colOff>
                    <xdr:row>29</xdr:row>
                    <xdr:rowOff>9525</xdr:rowOff>
                  </from>
                  <to>
                    <xdr:col>0</xdr:col>
                    <xdr:colOff>361950</xdr:colOff>
                    <xdr:row>29</xdr:row>
                    <xdr:rowOff>161925</xdr:rowOff>
                  </to>
                </anchor>
              </controlPr>
            </control>
          </mc:Choice>
        </mc:AlternateContent>
        <mc:AlternateContent xmlns:mc="http://schemas.openxmlformats.org/markup-compatibility/2006">
          <mc:Choice Requires="x14">
            <control shapeId="2302" r:id="rId85" name="Button 254">
              <controlPr defaultSize="0" print="0" autoFill="0" autoPict="0" macro="[0]!Pass_POV">
                <anchor moveWithCells="1" sizeWithCells="1">
                  <from>
                    <xdr:col>22</xdr:col>
                    <xdr:colOff>447675</xdr:colOff>
                    <xdr:row>89</xdr:row>
                    <xdr:rowOff>76200</xdr:rowOff>
                  </from>
                  <to>
                    <xdr:col>24</xdr:col>
                    <xdr:colOff>257175</xdr:colOff>
                    <xdr:row>90</xdr:row>
                    <xdr:rowOff>142875</xdr:rowOff>
                  </to>
                </anchor>
              </controlPr>
            </control>
          </mc:Choice>
        </mc:AlternateContent>
        <mc:AlternateContent xmlns:mc="http://schemas.openxmlformats.org/markup-compatibility/2006">
          <mc:Choice Requires="x14">
            <control shapeId="2304" r:id="rId86" name="Check Box 255">
              <controlPr defaultSize="0" print="0" autoFill="0" autoLine="0" autoPict="0" altText="Check this box if the Marine currently logged on is NOT the requesting Marine.">
                <anchor moveWithCells="1">
                  <from>
                    <xdr:col>5</xdr:col>
                    <xdr:colOff>9525</xdr:colOff>
                    <xdr:row>76</xdr:row>
                    <xdr:rowOff>66675</xdr:rowOff>
                  </from>
                  <to>
                    <xdr:col>10</xdr:col>
                    <xdr:colOff>142875</xdr:colOff>
                    <xdr:row>78</xdr:row>
                    <xdr:rowOff>104775</xdr:rowOff>
                  </to>
                </anchor>
              </controlPr>
            </control>
          </mc:Choice>
        </mc:AlternateContent>
        <mc:AlternateContent xmlns:mc="http://schemas.openxmlformats.org/markup-compatibility/2006">
          <mc:Choice Requires="x14">
            <control shapeId="2309" r:id="rId87" name="Button 261">
              <controlPr defaultSize="0" print="0" autoFill="0" autoPict="0" macro="[0]!Super_Signature">
                <anchor moveWithCells="1" sizeWithCells="1">
                  <from>
                    <xdr:col>8</xdr:col>
                    <xdr:colOff>209550</xdr:colOff>
                    <xdr:row>80</xdr:row>
                    <xdr:rowOff>57150</xdr:rowOff>
                  </from>
                  <to>
                    <xdr:col>11</xdr:col>
                    <xdr:colOff>171450</xdr:colOff>
                    <xdr:row>82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8"/>
  <sheetViews>
    <sheetView workbookViewId="0">
      <selection activeCell="G13" sqref="G13:K13"/>
    </sheetView>
  </sheetViews>
  <sheetFormatPr defaultColWidth="9.140625" defaultRowHeight="15" x14ac:dyDescent="0.25"/>
  <cols>
    <col min="1" max="1" width="9.140625" style="2"/>
    <col min="2" max="2" width="12.28515625" style="2" customWidth="1"/>
    <col min="3" max="16384" width="9.140625" style="2"/>
  </cols>
  <sheetData>
    <row r="1" spans="1:17" ht="22.5" customHeight="1" x14ac:dyDescent="0.25">
      <c r="A1" s="334" t="s">
        <v>39</v>
      </c>
      <c r="B1" s="334"/>
      <c r="C1" s="334"/>
      <c r="D1" s="326" t="s">
        <v>38</v>
      </c>
      <c r="E1" s="326"/>
      <c r="F1" s="326"/>
      <c r="G1" s="326"/>
      <c r="H1" s="326"/>
      <c r="I1" s="326"/>
      <c r="J1" s="3"/>
    </row>
    <row r="2" spans="1:17" ht="22.5" customHeight="1" x14ac:dyDescent="0.25">
      <c r="A2" s="334"/>
      <c r="B2" s="334"/>
      <c r="C2" s="334"/>
      <c r="D2" s="326"/>
      <c r="E2" s="326"/>
      <c r="F2" s="326"/>
      <c r="G2" s="326"/>
      <c r="H2" s="326"/>
      <c r="I2" s="326"/>
    </row>
    <row r="3" spans="1:17" ht="22.5" customHeight="1" x14ac:dyDescent="0.25">
      <c r="A3" s="334"/>
      <c r="B3" s="334"/>
      <c r="C3" s="334"/>
      <c r="F3" s="43"/>
      <c r="G3" s="43"/>
      <c r="Q3" s="4"/>
    </row>
    <row r="4" spans="1:17" ht="15.75" customHeight="1" x14ac:dyDescent="0.25">
      <c r="A4" s="334"/>
      <c r="B4" s="334"/>
      <c r="C4" s="334"/>
    </row>
    <row r="5" spans="1:17" ht="15.75" customHeight="1" x14ac:dyDescent="0.25">
      <c r="A5" s="334"/>
      <c r="B5" s="334"/>
      <c r="C5" s="334"/>
    </row>
    <row r="6" spans="1:17" ht="15.75" customHeight="1" x14ac:dyDescent="0.25">
      <c r="A6" s="334"/>
      <c r="B6" s="334"/>
      <c r="C6" s="334"/>
    </row>
    <row r="7" spans="1:17" ht="15.75" customHeight="1" x14ac:dyDescent="0.25">
      <c r="A7" s="334"/>
      <c r="B7" s="334"/>
      <c r="C7" s="334"/>
    </row>
    <row r="8" spans="1:17" ht="15.75" x14ac:dyDescent="0.25">
      <c r="B8" s="5"/>
    </row>
    <row r="9" spans="1:17" ht="15.75" x14ac:dyDescent="0.25">
      <c r="B9" s="6" t="s">
        <v>40</v>
      </c>
      <c r="C9" s="327" t="str">
        <f>IF('Risk Mitigation Form'!F4="", "", 'Risk Mitigation Form'!F4)</f>
        <v/>
      </c>
      <c r="D9" s="328"/>
      <c r="E9" s="6" t="s">
        <v>41</v>
      </c>
      <c r="F9" s="327" t="str">
        <f>IF('Risk Mitigation Form'!A4="", "", LEFT('Risk Mitigation Form'!A4, SUM(FIND(",", 'Risk Mitigation Form'!A4)-1)))</f>
        <v/>
      </c>
      <c r="G9" s="328"/>
      <c r="H9" s="6" t="s">
        <v>42</v>
      </c>
      <c r="I9" s="327" t="str">
        <f>IF('Risk Mitigation Form'!A4="", "", IF(ISERROR(FIND(" ",'Risk Mitigation Form'!A4,SUM(FIND(" ",'Risk Mitigation Form'!A4),1))), RIGHT(LEFT('Risk Mitigation Form'!A4,LEN('Risk Mitigation Form'!A4)), LEN('Risk Mitigation Form'!A4)-SUM(FIND(" ",'Risk Mitigation Form'!A4))), RIGHT(LEFT('Risk Mitigation Form'!A4,FIND(" ", 'Risk Mitigation Form'!A4, SUM(FIND(" ", 'Risk Mitigation Form'!A4),1))), SUM(FIND(" ", 'Risk Mitigation Form'!A4, SUM(FIND(" ", 'Risk Mitigation Form'!A4),1)), -SUM(FIND(" ",'Risk Mitigation Form'!A4))))))</f>
        <v/>
      </c>
      <c r="J9" s="328"/>
      <c r="K9" s="7" t="s">
        <v>43</v>
      </c>
      <c r="L9" s="72" t="str">
        <f>IF('Risk Mitigation Form'!A4="","",IF(ISERROR(FIND(".",'Risk Mitigation Form'!A4)),IF(ISERROR(FIND(" ",'Risk Mitigation Form'!A4,SUM(FIND(" ",'Risk Mitigation Form'!A4),1)))," ",RIGHT('Risk Mitigation Form'!A4,1)),RIGHT('Risk Mitigation Form'!A4,2)))</f>
        <v/>
      </c>
    </row>
    <row r="10" spans="1:17" ht="15.75" x14ac:dyDescent="0.25">
      <c r="B10" s="5"/>
    </row>
    <row r="11" spans="1:17" ht="15.75" customHeight="1" x14ac:dyDescent="0.25">
      <c r="B11" s="329" t="s">
        <v>44</v>
      </c>
      <c r="C11" s="329"/>
      <c r="D11" s="329"/>
      <c r="G11" s="329" t="s">
        <v>286</v>
      </c>
      <c r="H11" s="329"/>
      <c r="I11" s="329"/>
      <c r="J11" s="329"/>
      <c r="K11" s="329"/>
    </row>
    <row r="12" spans="1:17" ht="15.75" customHeight="1" x14ac:dyDescent="0.25">
      <c r="B12" s="5"/>
    </row>
    <row r="13" spans="1:17" ht="15.75" x14ac:dyDescent="0.25">
      <c r="B13" s="5" t="s">
        <v>45</v>
      </c>
      <c r="C13" s="330" t="str">
        <f>IF(OR('Risk Mitigation Form'!L7="", 'Risk Mitigation Form'!L8=""), "", 'Risk Mitigation Form'!L8&amp;" at "&amp;'Risk Mitigation Form'!L7)</f>
        <v/>
      </c>
      <c r="D13" s="328"/>
      <c r="G13" s="331"/>
      <c r="H13" s="332"/>
      <c r="I13" s="332"/>
      <c r="J13" s="332"/>
      <c r="K13" s="332"/>
    </row>
    <row r="14" spans="1:17" x14ac:dyDescent="0.25">
      <c r="G14" s="333"/>
      <c r="H14" s="333"/>
      <c r="I14" s="333"/>
      <c r="J14" s="333"/>
      <c r="K14" s="333"/>
    </row>
    <row r="15" spans="1:17" ht="15.75" x14ac:dyDescent="0.25">
      <c r="B15" s="5" t="s">
        <v>46</v>
      </c>
      <c r="C15" s="330" t="str">
        <f>IF(OR('Risk Mitigation Form'!P7="", 'Risk Mitigation Form'!P8=""), "", 'Risk Mitigation Form'!P8&amp;" at "&amp;'Risk Mitigation Form'!P7)</f>
        <v/>
      </c>
      <c r="D15" s="328"/>
      <c r="G15" s="327" t="str">
        <f>IF(AND('Risk Mitigation Form'!A7="", 'Risk Mitigation Form'!A8=""), "", 'Risk Mitigation Form'!A7&amp;" "&amp;'Risk Mitigation Form'!A8)</f>
        <v/>
      </c>
      <c r="H15" s="328"/>
      <c r="I15" s="328"/>
      <c r="J15" s="328"/>
      <c r="K15" s="328"/>
    </row>
    <row r="16" spans="1:17" x14ac:dyDescent="0.25">
      <c r="G16" s="325"/>
      <c r="H16" s="325"/>
      <c r="I16" s="325"/>
      <c r="J16" s="325"/>
      <c r="K16" s="325"/>
    </row>
    <row r="17" spans="1:13" ht="15.75" x14ac:dyDescent="0.25">
      <c r="B17" s="5"/>
    </row>
    <row r="18" spans="1:13" ht="15.75" x14ac:dyDescent="0.25">
      <c r="B18" s="5"/>
    </row>
    <row r="19" spans="1:13" ht="26.25" x14ac:dyDescent="0.25">
      <c r="B19" s="335" t="str">
        <f>"MEANS OF TRAVEL: "&amp;'Risk Mitigation Form'!H10</f>
        <v xml:space="preserve">MEANS OF TRAVEL: </v>
      </c>
      <c r="C19" s="335"/>
      <c r="D19" s="335"/>
      <c r="E19" s="335"/>
      <c r="F19" s="335"/>
      <c r="G19" s="335"/>
      <c r="H19" s="335"/>
      <c r="I19" s="335"/>
      <c r="J19" s="335"/>
      <c r="K19" s="335"/>
      <c r="L19" s="8"/>
      <c r="M19" s="8"/>
    </row>
    <row r="20" spans="1:13" ht="26.25" x14ac:dyDescent="0.25">
      <c r="B20" s="9"/>
    </row>
    <row r="21" spans="1:13" ht="26.25" x14ac:dyDescent="0.25">
      <c r="B21" s="336" t="s">
        <v>47</v>
      </c>
      <c r="C21" s="336"/>
      <c r="D21" s="336"/>
      <c r="E21" s="336"/>
      <c r="F21" s="336"/>
      <c r="G21" s="336"/>
      <c r="H21" s="336"/>
      <c r="I21" s="336"/>
      <c r="J21" s="336"/>
      <c r="K21" s="336"/>
      <c r="L21" s="10"/>
      <c r="M21" s="10"/>
    </row>
    <row r="22" spans="1:13" ht="26.25" x14ac:dyDescent="0.25">
      <c r="A22" s="9"/>
      <c r="B22" s="337"/>
      <c r="C22" s="338"/>
      <c r="D22" s="338"/>
      <c r="E22" s="338"/>
      <c r="F22" s="338"/>
      <c r="G22" s="338"/>
      <c r="H22" s="338"/>
      <c r="I22" s="338"/>
      <c r="J22" s="338"/>
      <c r="K22" s="338"/>
    </row>
    <row r="23" spans="1:13" ht="26.25" x14ac:dyDescent="0.25">
      <c r="A23" s="9"/>
      <c r="B23" s="338"/>
      <c r="C23" s="338"/>
      <c r="D23" s="338"/>
      <c r="E23" s="338"/>
      <c r="F23" s="338"/>
      <c r="G23" s="338"/>
      <c r="H23" s="338"/>
      <c r="I23" s="338"/>
      <c r="J23" s="338"/>
      <c r="K23" s="338"/>
    </row>
    <row r="24" spans="1:13" ht="26.25" x14ac:dyDescent="0.25">
      <c r="A24" s="9"/>
      <c r="B24" s="338"/>
      <c r="C24" s="338"/>
      <c r="D24" s="338"/>
      <c r="E24" s="338"/>
      <c r="F24" s="338"/>
      <c r="G24" s="338"/>
      <c r="H24" s="338"/>
      <c r="I24" s="338"/>
      <c r="J24" s="338"/>
      <c r="K24" s="338"/>
    </row>
    <row r="25" spans="1:13" ht="26.25" x14ac:dyDescent="0.25">
      <c r="A25" s="9"/>
      <c r="B25" s="338"/>
      <c r="C25" s="338"/>
      <c r="D25" s="338"/>
      <c r="E25" s="338"/>
      <c r="F25" s="338"/>
      <c r="G25" s="338"/>
      <c r="H25" s="338"/>
      <c r="I25" s="338"/>
      <c r="J25" s="338"/>
      <c r="K25" s="338"/>
    </row>
    <row r="26" spans="1:13" ht="26.25" x14ac:dyDescent="0.25">
      <c r="A26" s="9"/>
      <c r="B26" s="338"/>
      <c r="C26" s="338"/>
      <c r="D26" s="338"/>
      <c r="E26" s="338"/>
      <c r="F26" s="338"/>
      <c r="G26" s="338"/>
      <c r="H26" s="338"/>
      <c r="I26" s="338"/>
      <c r="J26" s="338"/>
      <c r="K26" s="338"/>
    </row>
    <row r="27" spans="1:13" ht="26.25" x14ac:dyDescent="0.25">
      <c r="A27" s="9"/>
      <c r="B27" s="338"/>
      <c r="C27" s="338"/>
      <c r="D27" s="338"/>
      <c r="E27" s="338"/>
      <c r="F27" s="338"/>
      <c r="G27" s="338"/>
      <c r="H27" s="338"/>
      <c r="I27" s="338"/>
      <c r="J27" s="338"/>
      <c r="K27" s="338"/>
    </row>
    <row r="28" spans="1:13" ht="26.25" x14ac:dyDescent="0.25">
      <c r="A28" s="9"/>
      <c r="B28" s="338"/>
      <c r="C28" s="338"/>
      <c r="D28" s="338"/>
      <c r="E28" s="338"/>
      <c r="F28" s="338"/>
      <c r="G28" s="338"/>
      <c r="H28" s="338"/>
      <c r="I28" s="338"/>
      <c r="J28" s="338"/>
      <c r="K28" s="338"/>
    </row>
    <row r="29" spans="1:13" ht="26.25" x14ac:dyDescent="0.25">
      <c r="A29" s="9"/>
      <c r="B29" s="338"/>
      <c r="C29" s="338"/>
      <c r="D29" s="338"/>
      <c r="E29" s="338"/>
      <c r="F29" s="338"/>
      <c r="G29" s="338"/>
      <c r="H29" s="338"/>
      <c r="I29" s="338"/>
      <c r="J29" s="338"/>
      <c r="K29" s="338"/>
    </row>
    <row r="30" spans="1:13" ht="26.25" x14ac:dyDescent="0.25">
      <c r="A30" s="9"/>
      <c r="B30" s="338"/>
      <c r="C30" s="338"/>
      <c r="D30" s="338"/>
      <c r="E30" s="338"/>
      <c r="F30" s="338"/>
      <c r="G30" s="338"/>
      <c r="H30" s="338"/>
      <c r="I30" s="338"/>
      <c r="J30" s="338"/>
      <c r="K30" s="338"/>
    </row>
    <row r="31" spans="1:13" ht="26.25" x14ac:dyDescent="0.25">
      <c r="A31" s="9"/>
      <c r="B31" s="338"/>
      <c r="C31" s="338"/>
      <c r="D31" s="338"/>
      <c r="E31" s="338"/>
      <c r="F31" s="338"/>
      <c r="G31" s="338"/>
      <c r="H31" s="338"/>
      <c r="I31" s="338"/>
      <c r="J31" s="338"/>
      <c r="K31" s="338"/>
    </row>
    <row r="32" spans="1:13" ht="26.25" x14ac:dyDescent="0.25">
      <c r="A32" s="9"/>
      <c r="B32" s="338"/>
      <c r="C32" s="338"/>
      <c r="D32" s="338"/>
      <c r="E32" s="338"/>
      <c r="F32" s="338"/>
      <c r="G32" s="338"/>
      <c r="H32" s="338"/>
      <c r="I32" s="338"/>
      <c r="J32" s="338"/>
      <c r="K32" s="338"/>
    </row>
    <row r="33" spans="1:11" ht="26.25" x14ac:dyDescent="0.25">
      <c r="A33" s="9"/>
      <c r="B33" s="338"/>
      <c r="C33" s="338"/>
      <c r="D33" s="338"/>
      <c r="E33" s="338"/>
      <c r="F33" s="338"/>
      <c r="G33" s="338"/>
      <c r="H33" s="338"/>
      <c r="I33" s="338"/>
      <c r="J33" s="338"/>
      <c r="K33" s="338"/>
    </row>
    <row r="34" spans="1:11" ht="26.25" x14ac:dyDescent="0.25">
      <c r="A34" s="9"/>
      <c r="B34" s="338"/>
      <c r="C34" s="338"/>
      <c r="D34" s="338"/>
      <c r="E34" s="338"/>
      <c r="F34" s="338"/>
      <c r="G34" s="338"/>
      <c r="H34" s="338"/>
      <c r="I34" s="338"/>
      <c r="J34" s="338"/>
      <c r="K34" s="338"/>
    </row>
    <row r="35" spans="1:11" ht="26.25" x14ac:dyDescent="0.25">
      <c r="A35" s="9"/>
      <c r="B35" s="338"/>
      <c r="C35" s="338"/>
      <c r="D35" s="338"/>
      <c r="E35" s="338"/>
      <c r="F35" s="338"/>
      <c r="G35" s="338"/>
      <c r="H35" s="338"/>
      <c r="I35" s="338"/>
      <c r="J35" s="338"/>
      <c r="K35" s="338"/>
    </row>
    <row r="36" spans="1:11" ht="26.25" x14ac:dyDescent="0.25">
      <c r="A36" s="9"/>
      <c r="B36" s="338"/>
      <c r="C36" s="338"/>
      <c r="D36" s="338"/>
      <c r="E36" s="338"/>
      <c r="F36" s="338"/>
      <c r="G36" s="338"/>
      <c r="H36" s="338"/>
      <c r="I36" s="338"/>
      <c r="J36" s="338"/>
      <c r="K36" s="338"/>
    </row>
    <row r="37" spans="1:11" ht="26.25" x14ac:dyDescent="0.25">
      <c r="A37" s="9"/>
      <c r="B37" s="338"/>
      <c r="C37" s="338"/>
      <c r="D37" s="338"/>
      <c r="E37" s="338"/>
      <c r="F37" s="338"/>
      <c r="G37" s="338"/>
      <c r="H37" s="338"/>
      <c r="I37" s="338"/>
      <c r="J37" s="338"/>
      <c r="K37" s="338"/>
    </row>
    <row r="38" spans="1:11" x14ac:dyDescent="0.25">
      <c r="B38" s="11"/>
      <c r="C38" s="339"/>
      <c r="D38" s="339"/>
      <c r="E38" s="12"/>
      <c r="F38" s="12"/>
      <c r="G38" s="12"/>
      <c r="H38" s="12"/>
      <c r="I38" s="11" t="s">
        <v>48</v>
      </c>
      <c r="J38" s="340" t="str">
        <f>IF('Risk Mitigation Form'!Q4="", "", 'Risk Mitigation Form'!Q4)</f>
        <v/>
      </c>
      <c r="K38" s="340"/>
    </row>
  </sheetData>
  <sheetProtection algorithmName="SHA-512" hashValue="j5AV0+5NDQixsTg4U7cybj3DluXZfjBLwjOipt+T4w85n/4RdKB5Ol/8zqMRxpb/rfBs8qt7D8/8W0YIwQxcIg==" saltValue="0LFEl5zln/CUl7nNAu5l4Q==" spinCount="100000" sheet="1" objects="1" scenarios="1" selectLockedCells="1"/>
  <mergeCells count="18">
    <mergeCell ref="B19:K19"/>
    <mergeCell ref="B21:K21"/>
    <mergeCell ref="B22:K37"/>
    <mergeCell ref="C38:D38"/>
    <mergeCell ref="J38:K38"/>
    <mergeCell ref="G16:K16"/>
    <mergeCell ref="D1:I2"/>
    <mergeCell ref="C9:D9"/>
    <mergeCell ref="F9:G9"/>
    <mergeCell ref="I9:J9"/>
    <mergeCell ref="B11:D11"/>
    <mergeCell ref="G11:K11"/>
    <mergeCell ref="C13:D13"/>
    <mergeCell ref="G13:K13"/>
    <mergeCell ref="G14:K14"/>
    <mergeCell ref="C15:D15"/>
    <mergeCell ref="G15:K15"/>
    <mergeCell ref="A1:C7"/>
  </mergeCells>
  <conditionalFormatting sqref="G13:K13">
    <cfRule type="expression" dxfId="1" priority="6">
      <formula>$G$13=""</formula>
    </cfRule>
  </conditionalFormatting>
  <conditionalFormatting sqref="B22:K37">
    <cfRule type="expression" dxfId="0" priority="5">
      <formula>$B$22=""</formula>
    </cfRule>
  </conditionalFormatting>
  <pageMargins left="0.7" right="0.7" top="0.75" bottom="0.75" header="0.3" footer="0.3"/>
  <pageSetup scale="8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51"/>
  <sheetViews>
    <sheetView workbookViewId="0">
      <selection activeCell="A2" sqref="A2"/>
    </sheetView>
  </sheetViews>
  <sheetFormatPr defaultRowHeight="15" x14ac:dyDescent="0.25"/>
  <cols>
    <col min="1" max="1" width="9.140625" style="54"/>
    <col min="2" max="2" width="14.42578125" style="54" bestFit="1" customWidth="1"/>
    <col min="3" max="3" width="17.42578125" style="54" bestFit="1" customWidth="1"/>
    <col min="4" max="4" width="22.140625" style="54" bestFit="1" customWidth="1"/>
    <col min="5" max="5" width="22.140625" style="54" customWidth="1"/>
    <col min="6" max="6" width="15.28515625" style="54" bestFit="1" customWidth="1"/>
    <col min="7" max="7" width="17.85546875" style="54" bestFit="1" customWidth="1"/>
    <col min="8" max="8" width="10.85546875" style="54" bestFit="1" customWidth="1"/>
    <col min="9" max="9" width="14.28515625" style="54" bestFit="1" customWidth="1"/>
    <col min="10" max="10" width="13.28515625" style="54" bestFit="1" customWidth="1"/>
    <col min="11" max="11" width="13.140625" style="54" bestFit="1" customWidth="1"/>
    <col min="12" max="12" width="14.42578125" style="54" bestFit="1" customWidth="1"/>
    <col min="13" max="13" width="12.7109375" style="54" bestFit="1" customWidth="1"/>
    <col min="14" max="14" width="11.42578125" style="54" bestFit="1" customWidth="1"/>
    <col min="15" max="15" width="14.5703125" style="54" bestFit="1" customWidth="1"/>
    <col min="16" max="16" width="9.140625" style="54" customWidth="1"/>
    <col min="17" max="16384" width="9.140625" style="54"/>
  </cols>
  <sheetData>
    <row r="1" spans="1:27" x14ac:dyDescent="0.25">
      <c r="A1" s="55" t="s">
        <v>1</v>
      </c>
      <c r="B1" s="55" t="s">
        <v>36</v>
      </c>
      <c r="C1" s="55" t="s">
        <v>37</v>
      </c>
      <c r="D1" s="55" t="s">
        <v>61</v>
      </c>
      <c r="E1" s="55" t="s">
        <v>293</v>
      </c>
      <c r="F1" s="55" t="s">
        <v>10</v>
      </c>
      <c r="G1" s="55" t="s">
        <v>171</v>
      </c>
      <c r="H1" s="55" t="s">
        <v>3</v>
      </c>
      <c r="I1" s="55" t="str">
        <f>IF($H$2 = "", "", $H$2 &amp;" Section")</f>
        <v>HQ Section</v>
      </c>
      <c r="J1" s="55" t="str">
        <f>IF($H$3 = "", "", $H$3 &amp;" Section")</f>
        <v>Alpha Section</v>
      </c>
      <c r="K1" s="55" t="str">
        <f>IF($H$4 = "", "", $H$4 &amp;" Section")</f>
        <v>Bravo Section</v>
      </c>
      <c r="L1" s="55" t="str">
        <f>IF($H$5 = "", "", $H$5 &amp;" Section")</f>
        <v>Charlie Section</v>
      </c>
      <c r="M1" s="55" t="str">
        <f>IF($H$6 = "", "", $H$6 &amp;" Section")</f>
        <v>Delta Section</v>
      </c>
      <c r="N1" s="55" t="str">
        <f>IF($H$7 = "", "", $H$7 &amp;" Section")</f>
        <v>GS Section</v>
      </c>
      <c r="O1" s="55" t="str">
        <f>IF($H$8 = "", "", $H$8 &amp;" Section")</f>
        <v>Service Section</v>
      </c>
      <c r="P1" s="55" t="str">
        <f>IF($H$9 = "", "", $H$9 &amp;" Section")</f>
        <v/>
      </c>
      <c r="Q1" s="55" t="str">
        <f>IF($H$10 = "", "", $H$10 &amp;" Section")</f>
        <v/>
      </c>
      <c r="R1" s="56" t="str">
        <f>IF($H$11 = "", "", $H$11 &amp;" Section")</f>
        <v/>
      </c>
      <c r="S1" s="56" t="str">
        <f>IF($H$12 = "", "", $H$12 &amp;" Section")</f>
        <v/>
      </c>
      <c r="T1" s="56" t="str">
        <f>IF($H$13 = "", "", $H$13 &amp;" Section")</f>
        <v/>
      </c>
      <c r="U1" s="56" t="str">
        <f>IF($H$14 = "", "", $H$14 &amp;" Section")</f>
        <v/>
      </c>
      <c r="V1" s="56" t="str">
        <f>IF($H$15 = "", "", $H$15 &amp;" Section")</f>
        <v/>
      </c>
      <c r="W1" s="56" t="str">
        <f>IF($H$16 = "", "", $H$16 &amp;" Section")</f>
        <v/>
      </c>
      <c r="X1" s="56" t="str">
        <f>IF($H$17 = "", "", $H$17 &amp;" Section")</f>
        <v/>
      </c>
      <c r="Y1" s="56" t="str">
        <f>IF($H$18 = "", "", $H$18 &amp;" Section")</f>
        <v/>
      </c>
      <c r="Z1" s="56" t="str">
        <f>IF($H$19 = "", "", $H$19 &amp;" Section")</f>
        <v/>
      </c>
      <c r="AA1" s="56" t="str">
        <f>IF($H$20 = "", "", $H$20 &amp;" Section")</f>
        <v/>
      </c>
    </row>
    <row r="2" spans="1:27" x14ac:dyDescent="0.25">
      <c r="A2" s="56" t="s">
        <v>97</v>
      </c>
      <c r="B2" s="56" t="s">
        <v>49</v>
      </c>
      <c r="C2" s="56" t="s">
        <v>55</v>
      </c>
      <c r="D2" s="56" t="s">
        <v>278</v>
      </c>
      <c r="E2" s="56" t="s">
        <v>301</v>
      </c>
      <c r="F2" s="56" t="s">
        <v>121</v>
      </c>
      <c r="G2" s="56" t="s">
        <v>172</v>
      </c>
      <c r="H2" s="56" t="s">
        <v>5</v>
      </c>
      <c r="I2" s="56" t="s">
        <v>269</v>
      </c>
      <c r="J2" s="56" t="s">
        <v>246</v>
      </c>
      <c r="K2" s="56" t="s">
        <v>249</v>
      </c>
      <c r="L2" s="56" t="s">
        <v>253</v>
      </c>
      <c r="M2" s="56" t="s">
        <v>54</v>
      </c>
      <c r="N2" s="56" t="s">
        <v>249</v>
      </c>
      <c r="O2" s="56" t="s">
        <v>258</v>
      </c>
    </row>
    <row r="3" spans="1:27" x14ac:dyDescent="0.25">
      <c r="A3" s="56" t="s">
        <v>98</v>
      </c>
      <c r="B3" s="56" t="s">
        <v>50</v>
      </c>
      <c r="C3" s="56" t="s">
        <v>56</v>
      </c>
      <c r="D3" s="56" t="s">
        <v>279</v>
      </c>
      <c r="E3" s="56" t="s">
        <v>299</v>
      </c>
      <c r="F3" s="56" t="s">
        <v>122</v>
      </c>
      <c r="G3" s="56" t="s">
        <v>173</v>
      </c>
      <c r="H3" s="56" t="s">
        <v>241</v>
      </c>
      <c r="I3" s="56" t="s">
        <v>264</v>
      </c>
      <c r="J3" s="56" t="s">
        <v>247</v>
      </c>
      <c r="K3" s="56" t="s">
        <v>251</v>
      </c>
      <c r="L3" s="56" t="s">
        <v>254</v>
      </c>
      <c r="M3" s="56"/>
      <c r="N3" s="56" t="s">
        <v>257</v>
      </c>
      <c r="O3" s="56" t="s">
        <v>249</v>
      </c>
    </row>
    <row r="4" spans="1:27" x14ac:dyDescent="0.25">
      <c r="A4" s="56" t="s">
        <v>99</v>
      </c>
      <c r="B4" s="56" t="s">
        <v>51</v>
      </c>
      <c r="C4" s="56" t="s">
        <v>57</v>
      </c>
      <c r="D4" s="56" t="s">
        <v>223</v>
      </c>
      <c r="E4" s="56" t="s">
        <v>295</v>
      </c>
      <c r="F4" s="56" t="s">
        <v>123</v>
      </c>
      <c r="G4" s="56" t="s">
        <v>174</v>
      </c>
      <c r="H4" s="56" t="s">
        <v>242</v>
      </c>
      <c r="I4" s="56" t="s">
        <v>249</v>
      </c>
      <c r="J4" s="56" t="s">
        <v>248</v>
      </c>
      <c r="K4" s="56" t="s">
        <v>267</v>
      </c>
      <c r="L4" s="56" t="s">
        <v>249</v>
      </c>
      <c r="M4" s="56"/>
      <c r="N4" s="56" t="s">
        <v>267</v>
      </c>
      <c r="O4" s="56" t="s">
        <v>259</v>
      </c>
    </row>
    <row r="5" spans="1:27" x14ac:dyDescent="0.25">
      <c r="A5" s="56" t="s">
        <v>100</v>
      </c>
      <c r="B5" s="56" t="s">
        <v>52</v>
      </c>
      <c r="C5" s="56" t="s">
        <v>58</v>
      </c>
      <c r="D5" s="56" t="s">
        <v>224</v>
      </c>
      <c r="E5" s="56" t="s">
        <v>302</v>
      </c>
      <c r="F5" s="56" t="s">
        <v>124</v>
      </c>
      <c r="G5" s="56" t="s">
        <v>175</v>
      </c>
      <c r="H5" s="56" t="s">
        <v>243</v>
      </c>
      <c r="I5" s="56" t="s">
        <v>263</v>
      </c>
      <c r="J5" s="56" t="s">
        <v>249</v>
      </c>
      <c r="K5" s="56" t="s">
        <v>252</v>
      </c>
      <c r="L5" s="56" t="s">
        <v>267</v>
      </c>
      <c r="M5" s="56"/>
      <c r="N5" s="56" t="s">
        <v>255</v>
      </c>
      <c r="O5" s="56" t="s">
        <v>261</v>
      </c>
    </row>
    <row r="6" spans="1:27" x14ac:dyDescent="0.25">
      <c r="A6" s="56" t="s">
        <v>96</v>
      </c>
      <c r="B6" s="56" t="s">
        <v>53</v>
      </c>
      <c r="C6" s="56"/>
      <c r="D6" s="56" t="s">
        <v>58</v>
      </c>
      <c r="E6" s="56" t="s">
        <v>297</v>
      </c>
      <c r="F6" s="56" t="s">
        <v>125</v>
      </c>
      <c r="G6" s="56" t="s">
        <v>176</v>
      </c>
      <c r="H6" s="56" t="s">
        <v>245</v>
      </c>
      <c r="I6" s="56" t="s">
        <v>236</v>
      </c>
      <c r="J6" s="56" t="s">
        <v>250</v>
      </c>
      <c r="K6" s="56"/>
      <c r="L6" s="56"/>
      <c r="M6" s="56"/>
      <c r="N6" s="56" t="s">
        <v>256</v>
      </c>
      <c r="O6" s="56" t="s">
        <v>260</v>
      </c>
    </row>
    <row r="7" spans="1:27" x14ac:dyDescent="0.25">
      <c r="A7" s="56" t="s">
        <v>101</v>
      </c>
      <c r="B7" s="57" t="s">
        <v>291</v>
      </c>
      <c r="C7" s="56"/>
      <c r="D7" s="56"/>
      <c r="E7" s="56" t="s">
        <v>298</v>
      </c>
      <c r="F7" s="56" t="s">
        <v>126</v>
      </c>
      <c r="G7" s="56" t="s">
        <v>177</v>
      </c>
      <c r="H7" s="56" t="s">
        <v>240</v>
      </c>
      <c r="I7" s="56" t="s">
        <v>237</v>
      </c>
      <c r="J7" s="56"/>
      <c r="K7" s="56"/>
      <c r="L7" s="56"/>
      <c r="M7" s="56"/>
      <c r="N7" s="56"/>
      <c r="O7" s="56"/>
    </row>
    <row r="8" spans="1:27" x14ac:dyDescent="0.25">
      <c r="A8" s="56" t="s">
        <v>102</v>
      </c>
      <c r="B8" s="56"/>
      <c r="C8" s="56"/>
      <c r="D8" s="56"/>
      <c r="E8" s="56" t="s">
        <v>296</v>
      </c>
      <c r="F8" s="56" t="s">
        <v>127</v>
      </c>
      <c r="G8" s="56" t="s">
        <v>178</v>
      </c>
      <c r="H8" s="56" t="s">
        <v>244</v>
      </c>
      <c r="I8" s="56" t="s">
        <v>238</v>
      </c>
      <c r="J8" s="56"/>
      <c r="K8" s="56"/>
      <c r="L8" s="56"/>
      <c r="M8" s="56"/>
      <c r="N8" s="56"/>
      <c r="O8" s="56"/>
    </row>
    <row r="9" spans="1:27" x14ac:dyDescent="0.25">
      <c r="A9" s="56" t="s">
        <v>103</v>
      </c>
      <c r="B9" s="57"/>
      <c r="C9" s="56"/>
      <c r="D9" s="56"/>
      <c r="E9" s="56" t="s">
        <v>303</v>
      </c>
      <c r="F9" s="56" t="s">
        <v>128</v>
      </c>
      <c r="G9" s="56" t="s">
        <v>179</v>
      </c>
      <c r="H9" s="56"/>
      <c r="I9" s="56" t="s">
        <v>6</v>
      </c>
      <c r="J9" s="56"/>
      <c r="K9" s="56"/>
      <c r="L9" s="56"/>
      <c r="M9" s="56"/>
      <c r="N9" s="56"/>
      <c r="O9" s="56"/>
    </row>
    <row r="10" spans="1:27" x14ac:dyDescent="0.25">
      <c r="A10" s="56" t="s">
        <v>32</v>
      </c>
      <c r="B10" s="56"/>
      <c r="C10" s="56"/>
      <c r="D10" s="56"/>
      <c r="E10" s="56" t="s">
        <v>294</v>
      </c>
      <c r="F10" s="56" t="s">
        <v>129</v>
      </c>
      <c r="G10" s="56" t="s">
        <v>180</v>
      </c>
      <c r="H10" s="56"/>
      <c r="I10" s="56" t="s">
        <v>312</v>
      </c>
      <c r="J10" s="56"/>
      <c r="K10" s="56"/>
      <c r="L10" s="56"/>
      <c r="M10" s="56"/>
      <c r="N10" s="56"/>
      <c r="O10" s="56"/>
    </row>
    <row r="11" spans="1:27" x14ac:dyDescent="0.25">
      <c r="A11" s="56" t="s">
        <v>104</v>
      </c>
      <c r="B11" s="56"/>
      <c r="C11" s="56"/>
      <c r="D11" s="56"/>
      <c r="E11" s="56" t="s">
        <v>300</v>
      </c>
      <c r="F11" s="56" t="s">
        <v>130</v>
      </c>
      <c r="G11" s="56" t="s">
        <v>181</v>
      </c>
      <c r="H11" s="56"/>
      <c r="I11" s="56" t="s">
        <v>266</v>
      </c>
      <c r="J11" s="56"/>
      <c r="K11" s="56"/>
      <c r="L11" s="56"/>
      <c r="M11" s="56"/>
      <c r="N11" s="56"/>
      <c r="O11" s="56"/>
    </row>
    <row r="12" spans="1:27" x14ac:dyDescent="0.25">
      <c r="A12" s="56" t="s">
        <v>105</v>
      </c>
      <c r="B12" s="56"/>
      <c r="C12" s="56"/>
      <c r="D12" s="56"/>
      <c r="E12" s="56" t="s">
        <v>58</v>
      </c>
      <c r="F12" s="56" t="s">
        <v>131</v>
      </c>
      <c r="G12" s="56" t="s">
        <v>182</v>
      </c>
      <c r="H12" s="56"/>
      <c r="I12" s="56" t="s">
        <v>316</v>
      </c>
      <c r="J12" s="56"/>
      <c r="K12" s="56"/>
      <c r="L12" s="56"/>
      <c r="M12" s="56"/>
      <c r="N12" s="56"/>
      <c r="O12" s="56"/>
    </row>
    <row r="13" spans="1:27" x14ac:dyDescent="0.25">
      <c r="A13" s="56" t="s">
        <v>106</v>
      </c>
      <c r="B13" s="56"/>
      <c r="C13" s="56"/>
      <c r="D13" s="56"/>
      <c r="E13" s="56"/>
      <c r="F13" s="56" t="s">
        <v>132</v>
      </c>
      <c r="G13" s="56" t="s">
        <v>183</v>
      </c>
      <c r="H13" s="56"/>
      <c r="I13" s="56" t="s">
        <v>265</v>
      </c>
      <c r="J13" s="56"/>
      <c r="K13" s="56"/>
      <c r="L13" s="56"/>
      <c r="M13" s="56"/>
      <c r="N13" s="56"/>
      <c r="O13" s="56"/>
    </row>
    <row r="14" spans="1:27" x14ac:dyDescent="0.25">
      <c r="A14" s="56" t="s">
        <v>107</v>
      </c>
      <c r="B14" s="56"/>
      <c r="C14" s="56"/>
      <c r="D14" s="56"/>
      <c r="E14" s="56"/>
      <c r="F14" s="56" t="s">
        <v>133</v>
      </c>
      <c r="G14" s="56" t="s">
        <v>184</v>
      </c>
      <c r="H14" s="56"/>
      <c r="I14" s="56" t="s">
        <v>239</v>
      </c>
      <c r="J14" s="56"/>
      <c r="K14" s="56"/>
      <c r="L14" s="56"/>
      <c r="M14" s="56"/>
      <c r="N14" s="56"/>
      <c r="O14" s="56"/>
    </row>
    <row r="15" spans="1:27" x14ac:dyDescent="0.25">
      <c r="A15" s="56" t="s">
        <v>108</v>
      </c>
      <c r="B15" s="56"/>
      <c r="C15" s="56"/>
      <c r="D15" s="56"/>
      <c r="E15" s="56"/>
      <c r="F15" s="56" t="s">
        <v>134</v>
      </c>
      <c r="G15" s="56" t="s">
        <v>185</v>
      </c>
      <c r="H15" s="56"/>
      <c r="I15" s="56" t="s">
        <v>313</v>
      </c>
      <c r="J15" s="56"/>
      <c r="K15" s="56"/>
      <c r="L15" s="56"/>
      <c r="M15" s="56"/>
      <c r="N15" s="56"/>
      <c r="O15" s="56"/>
    </row>
    <row r="16" spans="1:27" x14ac:dyDescent="0.25">
      <c r="A16" s="56" t="s">
        <v>109</v>
      </c>
      <c r="B16" s="56"/>
      <c r="C16" s="56"/>
      <c r="D16" s="56"/>
      <c r="E16" s="56"/>
      <c r="F16" s="56" t="s">
        <v>135</v>
      </c>
      <c r="G16" s="56" t="s">
        <v>186</v>
      </c>
      <c r="H16" s="56"/>
      <c r="I16" s="56" t="s">
        <v>314</v>
      </c>
      <c r="J16" s="56"/>
      <c r="K16" s="56"/>
      <c r="L16" s="56"/>
      <c r="M16" s="56"/>
      <c r="N16" s="56"/>
      <c r="O16" s="56"/>
    </row>
    <row r="17" spans="1:15" x14ac:dyDescent="0.25">
      <c r="A17" s="56" t="s">
        <v>110</v>
      </c>
      <c r="B17" s="56"/>
      <c r="C17" s="56"/>
      <c r="D17" s="56"/>
      <c r="E17" s="56"/>
      <c r="F17" s="56" t="s">
        <v>136</v>
      </c>
      <c r="G17" s="56" t="s">
        <v>187</v>
      </c>
      <c r="H17" s="56"/>
      <c r="I17" s="56" t="s">
        <v>262</v>
      </c>
      <c r="J17" s="56"/>
      <c r="K17" s="56"/>
      <c r="L17" s="56"/>
      <c r="M17" s="56"/>
      <c r="N17" s="56"/>
      <c r="O17" s="56"/>
    </row>
    <row r="18" spans="1:15" x14ac:dyDescent="0.25">
      <c r="A18" s="56" t="s">
        <v>111</v>
      </c>
      <c r="B18" s="56"/>
      <c r="C18" s="56"/>
      <c r="D18" s="56"/>
      <c r="E18" s="56"/>
      <c r="F18" s="56" t="s">
        <v>137</v>
      </c>
      <c r="G18" s="56" t="s">
        <v>188</v>
      </c>
      <c r="H18" s="56"/>
      <c r="I18" s="56" t="s">
        <v>268</v>
      </c>
      <c r="J18" s="56"/>
      <c r="K18" s="56"/>
      <c r="L18" s="56"/>
      <c r="M18" s="56"/>
      <c r="N18" s="56"/>
      <c r="O18" s="56"/>
    </row>
    <row r="19" spans="1:15" x14ac:dyDescent="0.25">
      <c r="A19" s="56" t="s">
        <v>112</v>
      </c>
      <c r="B19" s="56"/>
      <c r="C19" s="56"/>
      <c r="D19" s="56"/>
      <c r="E19" s="56"/>
      <c r="F19" s="56" t="s">
        <v>138</v>
      </c>
      <c r="G19" s="56" t="s">
        <v>189</v>
      </c>
      <c r="H19" s="56"/>
      <c r="I19" s="56"/>
      <c r="J19" s="56"/>
      <c r="K19" s="56"/>
      <c r="L19" s="56"/>
      <c r="M19" s="56"/>
      <c r="N19" s="56"/>
      <c r="O19" s="56"/>
    </row>
    <row r="20" spans="1:15" x14ac:dyDescent="0.25">
      <c r="A20" s="56" t="s">
        <v>113</v>
      </c>
      <c r="B20" s="56"/>
      <c r="C20" s="56"/>
      <c r="D20" s="56"/>
      <c r="E20" s="56"/>
      <c r="F20" s="56" t="s">
        <v>139</v>
      </c>
      <c r="G20" s="56" t="s">
        <v>190</v>
      </c>
      <c r="H20" s="56"/>
      <c r="I20" s="56"/>
      <c r="J20" s="56"/>
      <c r="K20" s="56"/>
      <c r="L20" s="56"/>
      <c r="M20" s="56"/>
      <c r="N20" s="56"/>
      <c r="O20" s="56"/>
    </row>
    <row r="21" spans="1:15" x14ac:dyDescent="0.25">
      <c r="A21" s="56" t="s">
        <v>114</v>
      </c>
      <c r="B21" s="56"/>
      <c r="C21" s="56"/>
      <c r="D21" s="56"/>
      <c r="E21" s="56"/>
      <c r="F21" s="56" t="s">
        <v>140</v>
      </c>
      <c r="G21" s="56" t="s">
        <v>191</v>
      </c>
      <c r="H21" s="56"/>
      <c r="I21" s="56"/>
      <c r="J21" s="56"/>
      <c r="K21" s="56"/>
      <c r="L21" s="56"/>
      <c r="M21" s="56"/>
      <c r="N21" s="56"/>
      <c r="O21" s="56"/>
    </row>
    <row r="22" spans="1:15" x14ac:dyDescent="0.25">
      <c r="A22" s="56" t="s">
        <v>115</v>
      </c>
      <c r="B22" s="56"/>
      <c r="C22" s="56"/>
      <c r="D22" s="56"/>
      <c r="E22" s="56"/>
      <c r="F22" s="56" t="s">
        <v>141</v>
      </c>
      <c r="G22" s="56" t="s">
        <v>192</v>
      </c>
      <c r="H22" s="56"/>
      <c r="I22" s="56"/>
      <c r="J22" s="56"/>
      <c r="K22" s="56"/>
      <c r="L22" s="56"/>
      <c r="M22" s="56"/>
      <c r="N22" s="56"/>
      <c r="O22" s="56"/>
    </row>
    <row r="23" spans="1:15" x14ac:dyDescent="0.25">
      <c r="A23" s="56" t="s">
        <v>116</v>
      </c>
      <c r="B23" s="56"/>
      <c r="C23" s="56"/>
      <c r="D23" s="56"/>
      <c r="E23" s="56"/>
      <c r="F23" s="56" t="s">
        <v>142</v>
      </c>
      <c r="G23" s="56" t="s">
        <v>193</v>
      </c>
      <c r="H23" s="56"/>
      <c r="I23" s="56"/>
      <c r="J23" s="56"/>
      <c r="K23" s="56"/>
      <c r="L23" s="56"/>
      <c r="M23" s="56"/>
      <c r="N23" s="56"/>
      <c r="O23" s="56"/>
    </row>
    <row r="24" spans="1:15" x14ac:dyDescent="0.25">
      <c r="A24" s="56" t="s">
        <v>117</v>
      </c>
      <c r="B24" s="56"/>
      <c r="C24" s="56"/>
      <c r="D24" s="56"/>
      <c r="E24" s="56"/>
      <c r="F24" s="56" t="s">
        <v>143</v>
      </c>
      <c r="G24" s="56" t="s">
        <v>194</v>
      </c>
      <c r="H24" s="56"/>
      <c r="I24" s="56"/>
      <c r="J24" s="56"/>
      <c r="K24" s="56"/>
      <c r="L24" s="56"/>
      <c r="M24" s="56"/>
      <c r="N24" s="56"/>
      <c r="O24" s="56"/>
    </row>
    <row r="25" spans="1:15" x14ac:dyDescent="0.25">
      <c r="A25" s="56" t="s">
        <v>118</v>
      </c>
      <c r="B25" s="56"/>
      <c r="C25" s="56"/>
      <c r="D25" s="56"/>
      <c r="E25" s="56"/>
      <c r="F25" s="56" t="s">
        <v>144</v>
      </c>
      <c r="G25" s="56" t="s">
        <v>195</v>
      </c>
      <c r="H25" s="56"/>
      <c r="I25" s="56"/>
      <c r="J25" s="56"/>
      <c r="K25" s="56"/>
      <c r="L25" s="56"/>
      <c r="M25" s="56"/>
      <c r="N25" s="56"/>
      <c r="O25" s="56"/>
    </row>
    <row r="26" spans="1:15" x14ac:dyDescent="0.25">
      <c r="A26" s="56" t="s">
        <v>119</v>
      </c>
      <c r="B26" s="56"/>
      <c r="C26" s="56"/>
      <c r="D26" s="56"/>
      <c r="E26" s="56"/>
      <c r="F26" s="56" t="s">
        <v>145</v>
      </c>
      <c r="G26" s="56" t="s">
        <v>196</v>
      </c>
      <c r="H26" s="56"/>
      <c r="I26" s="56"/>
      <c r="J26" s="56"/>
      <c r="K26" s="56"/>
      <c r="L26" s="56"/>
      <c r="M26" s="56"/>
      <c r="N26" s="56"/>
      <c r="O26" s="56"/>
    </row>
    <row r="27" spans="1:15" x14ac:dyDescent="0.25">
      <c r="A27" s="56" t="s">
        <v>120</v>
      </c>
      <c r="B27" s="56"/>
      <c r="C27" s="56"/>
      <c r="D27" s="56"/>
      <c r="E27" s="56"/>
      <c r="F27" s="56" t="s">
        <v>146</v>
      </c>
      <c r="G27" s="56" t="s">
        <v>197</v>
      </c>
      <c r="H27" s="56"/>
      <c r="I27" s="56"/>
      <c r="J27" s="56"/>
      <c r="K27" s="56"/>
      <c r="L27" s="56"/>
      <c r="M27" s="56"/>
      <c r="N27" s="56"/>
      <c r="O27" s="56"/>
    </row>
    <row r="28" spans="1:15" x14ac:dyDescent="0.25">
      <c r="A28" s="56"/>
      <c r="B28" s="56"/>
      <c r="C28" s="56"/>
      <c r="D28" s="56"/>
      <c r="E28" s="56"/>
      <c r="F28" s="56" t="s">
        <v>147</v>
      </c>
      <c r="G28" s="56" t="s">
        <v>198</v>
      </c>
      <c r="H28" s="56"/>
      <c r="I28" s="56"/>
      <c r="J28" s="56"/>
      <c r="K28" s="56"/>
      <c r="L28" s="56"/>
      <c r="M28" s="56"/>
      <c r="N28" s="56"/>
      <c r="O28" s="56"/>
    </row>
    <row r="29" spans="1:15" x14ac:dyDescent="0.25">
      <c r="A29" s="56"/>
      <c r="B29" s="56"/>
      <c r="C29" s="56"/>
      <c r="D29" s="56"/>
      <c r="E29" s="56"/>
      <c r="F29" s="56" t="s">
        <v>148</v>
      </c>
      <c r="G29" s="56" t="s">
        <v>199</v>
      </c>
      <c r="H29" s="56"/>
      <c r="I29" s="56"/>
      <c r="J29" s="56"/>
      <c r="K29" s="56"/>
      <c r="L29" s="56"/>
      <c r="M29" s="56"/>
      <c r="N29" s="56"/>
      <c r="O29" s="56"/>
    </row>
    <row r="30" spans="1:15" x14ac:dyDescent="0.25">
      <c r="A30" s="56"/>
      <c r="B30" s="56"/>
      <c r="C30" s="56"/>
      <c r="D30" s="56"/>
      <c r="E30" s="56"/>
      <c r="F30" s="56" t="s">
        <v>149</v>
      </c>
      <c r="G30" s="56" t="s">
        <v>200</v>
      </c>
      <c r="H30" s="56"/>
      <c r="I30" s="56"/>
      <c r="J30" s="56"/>
      <c r="K30" s="56"/>
      <c r="L30" s="56"/>
      <c r="M30" s="56"/>
      <c r="N30" s="56"/>
      <c r="O30" s="56"/>
    </row>
    <row r="31" spans="1:15" x14ac:dyDescent="0.25">
      <c r="A31" s="56"/>
      <c r="B31" s="56"/>
      <c r="C31" s="56"/>
      <c r="D31" s="56"/>
      <c r="E31" s="56"/>
      <c r="F31" s="56" t="s">
        <v>150</v>
      </c>
      <c r="G31" s="56" t="s">
        <v>201</v>
      </c>
      <c r="H31" s="56"/>
      <c r="I31" s="56"/>
      <c r="J31" s="56"/>
      <c r="K31" s="56"/>
      <c r="L31" s="56"/>
      <c r="M31" s="56"/>
      <c r="N31" s="56"/>
      <c r="O31" s="56"/>
    </row>
    <row r="32" spans="1:15" x14ac:dyDescent="0.25">
      <c r="A32" s="56"/>
      <c r="B32" s="56"/>
      <c r="C32" s="56"/>
      <c r="D32" s="56"/>
      <c r="E32" s="56"/>
      <c r="F32" s="56" t="s">
        <v>151</v>
      </c>
      <c r="G32" s="56" t="s">
        <v>202</v>
      </c>
      <c r="H32" s="56"/>
      <c r="I32" s="56"/>
      <c r="J32" s="56"/>
      <c r="K32" s="56"/>
      <c r="L32" s="56"/>
      <c r="M32" s="56"/>
      <c r="N32" s="56"/>
      <c r="O32" s="56"/>
    </row>
    <row r="33" spans="1:15" x14ac:dyDescent="0.25">
      <c r="A33" s="56"/>
      <c r="B33" s="56"/>
      <c r="C33" s="56"/>
      <c r="D33" s="56"/>
      <c r="E33" s="56"/>
      <c r="F33" s="56" t="s">
        <v>152</v>
      </c>
      <c r="G33" s="56" t="s">
        <v>203</v>
      </c>
      <c r="H33" s="56"/>
      <c r="I33" s="56"/>
      <c r="J33" s="56"/>
      <c r="K33" s="56"/>
      <c r="L33" s="56"/>
      <c r="M33" s="56"/>
      <c r="N33" s="56"/>
      <c r="O33" s="56"/>
    </row>
    <row r="34" spans="1:15" x14ac:dyDescent="0.25">
      <c r="A34" s="56"/>
      <c r="B34" s="56"/>
      <c r="C34" s="56"/>
      <c r="D34" s="56"/>
      <c r="E34" s="56"/>
      <c r="F34" s="56" t="s">
        <v>153</v>
      </c>
      <c r="G34" s="56" t="s">
        <v>204</v>
      </c>
      <c r="H34" s="56"/>
      <c r="I34" s="56"/>
      <c r="J34" s="56"/>
      <c r="K34" s="56"/>
      <c r="L34" s="56"/>
      <c r="M34" s="56"/>
      <c r="N34" s="56"/>
      <c r="O34" s="56"/>
    </row>
    <row r="35" spans="1:15" x14ac:dyDescent="0.25">
      <c r="A35" s="56"/>
      <c r="B35" s="56"/>
      <c r="C35" s="56"/>
      <c r="D35" s="56"/>
      <c r="E35" s="56"/>
      <c r="F35" s="56" t="s">
        <v>154</v>
      </c>
      <c r="G35" s="56" t="s">
        <v>205</v>
      </c>
      <c r="H35" s="56"/>
      <c r="I35" s="56"/>
      <c r="J35" s="56"/>
      <c r="K35" s="56"/>
      <c r="L35" s="56"/>
      <c r="M35" s="56"/>
      <c r="N35" s="56"/>
      <c r="O35" s="56"/>
    </row>
    <row r="36" spans="1:15" x14ac:dyDescent="0.25">
      <c r="A36" s="56"/>
      <c r="B36" s="56"/>
      <c r="C36" s="56"/>
      <c r="D36" s="56"/>
      <c r="E36" s="56"/>
      <c r="F36" s="56" t="s">
        <v>155</v>
      </c>
      <c r="G36" s="56" t="s">
        <v>206</v>
      </c>
      <c r="H36" s="56"/>
      <c r="I36" s="56"/>
      <c r="J36" s="56"/>
      <c r="K36" s="56"/>
      <c r="L36" s="56"/>
      <c r="M36" s="56"/>
      <c r="N36" s="56"/>
      <c r="O36" s="56"/>
    </row>
    <row r="37" spans="1:15" x14ac:dyDescent="0.25">
      <c r="A37" s="56"/>
      <c r="B37" s="56"/>
      <c r="C37" s="56"/>
      <c r="D37" s="56"/>
      <c r="E37" s="56"/>
      <c r="F37" s="56" t="s">
        <v>156</v>
      </c>
      <c r="G37" s="56" t="s">
        <v>207</v>
      </c>
      <c r="H37" s="56"/>
      <c r="I37" s="56"/>
      <c r="J37" s="56"/>
      <c r="K37" s="56"/>
      <c r="L37" s="56"/>
      <c r="M37" s="56"/>
      <c r="N37" s="56"/>
      <c r="O37" s="56"/>
    </row>
    <row r="38" spans="1:15" x14ac:dyDescent="0.25">
      <c r="A38" s="56"/>
      <c r="B38" s="56"/>
      <c r="C38" s="56"/>
      <c r="D38" s="56"/>
      <c r="E38" s="56"/>
      <c r="F38" s="56" t="s">
        <v>157</v>
      </c>
      <c r="G38" s="56" t="s">
        <v>208</v>
      </c>
      <c r="H38" s="56"/>
      <c r="I38" s="56"/>
      <c r="J38" s="56"/>
      <c r="K38" s="56"/>
      <c r="L38" s="56"/>
      <c r="M38" s="56"/>
      <c r="N38" s="56"/>
      <c r="O38" s="56"/>
    </row>
    <row r="39" spans="1:15" x14ac:dyDescent="0.25">
      <c r="A39" s="56"/>
      <c r="B39" s="56"/>
      <c r="C39" s="56"/>
      <c r="D39" s="56"/>
      <c r="E39" s="56"/>
      <c r="F39" s="56" t="s">
        <v>158</v>
      </c>
      <c r="G39" s="56" t="s">
        <v>209</v>
      </c>
      <c r="H39" s="56"/>
      <c r="I39" s="56"/>
      <c r="J39" s="56"/>
      <c r="K39" s="56"/>
      <c r="L39" s="56"/>
      <c r="M39" s="56"/>
      <c r="N39" s="56"/>
      <c r="O39" s="56"/>
    </row>
    <row r="40" spans="1:15" x14ac:dyDescent="0.25">
      <c r="A40" s="56"/>
      <c r="B40" s="56"/>
      <c r="C40" s="56"/>
      <c r="D40" s="56"/>
      <c r="E40" s="56"/>
      <c r="F40" s="56" t="s">
        <v>159</v>
      </c>
      <c r="G40" s="56" t="s">
        <v>210</v>
      </c>
      <c r="H40" s="56"/>
      <c r="I40" s="56"/>
      <c r="J40" s="56"/>
      <c r="K40" s="56"/>
      <c r="L40" s="56"/>
      <c r="M40" s="56"/>
      <c r="N40" s="56"/>
      <c r="O40" s="56"/>
    </row>
    <row r="41" spans="1:15" x14ac:dyDescent="0.25">
      <c r="A41" s="56"/>
      <c r="B41" s="56"/>
      <c r="C41" s="56"/>
      <c r="D41" s="56"/>
      <c r="E41" s="56"/>
      <c r="F41" s="56" t="s">
        <v>160</v>
      </c>
      <c r="G41" s="56" t="s">
        <v>211</v>
      </c>
      <c r="H41" s="56"/>
      <c r="I41" s="56"/>
      <c r="J41" s="56"/>
      <c r="K41" s="56"/>
      <c r="L41" s="56"/>
      <c r="M41" s="56"/>
      <c r="N41" s="56"/>
      <c r="O41" s="56"/>
    </row>
    <row r="42" spans="1:15" x14ac:dyDescent="0.25">
      <c r="A42" s="56"/>
      <c r="B42" s="56"/>
      <c r="C42" s="56"/>
      <c r="D42" s="56"/>
      <c r="E42" s="56"/>
      <c r="F42" s="56" t="s">
        <v>161</v>
      </c>
      <c r="G42" s="56" t="s">
        <v>212</v>
      </c>
      <c r="H42" s="56"/>
      <c r="I42" s="56"/>
      <c r="J42" s="56"/>
      <c r="K42" s="56"/>
      <c r="L42" s="56"/>
      <c r="M42" s="56"/>
      <c r="N42" s="56"/>
      <c r="O42" s="56"/>
    </row>
    <row r="43" spans="1:15" x14ac:dyDescent="0.25">
      <c r="A43" s="56"/>
      <c r="B43" s="56"/>
      <c r="C43" s="56"/>
      <c r="D43" s="56"/>
      <c r="E43" s="56"/>
      <c r="F43" s="56" t="s">
        <v>162</v>
      </c>
      <c r="G43" s="56" t="s">
        <v>213</v>
      </c>
      <c r="H43" s="56"/>
      <c r="I43" s="56"/>
      <c r="J43" s="56"/>
      <c r="K43" s="56"/>
      <c r="L43" s="56"/>
      <c r="M43" s="56"/>
      <c r="N43" s="56"/>
      <c r="O43" s="56"/>
    </row>
    <row r="44" spans="1:15" x14ac:dyDescent="0.25">
      <c r="A44" s="56"/>
      <c r="B44" s="56"/>
      <c r="C44" s="56"/>
      <c r="D44" s="56"/>
      <c r="E44" s="56"/>
      <c r="F44" s="56" t="s">
        <v>163</v>
      </c>
      <c r="G44" s="56" t="s">
        <v>214</v>
      </c>
      <c r="H44" s="56"/>
      <c r="I44" s="56"/>
      <c r="J44" s="56"/>
      <c r="K44" s="56"/>
      <c r="L44" s="56"/>
      <c r="M44" s="56"/>
      <c r="N44" s="56"/>
      <c r="O44" s="56"/>
    </row>
    <row r="45" spans="1:15" x14ac:dyDescent="0.25">
      <c r="A45" s="56"/>
      <c r="B45" s="56"/>
      <c r="C45" s="56"/>
      <c r="D45" s="56"/>
      <c r="E45" s="56"/>
      <c r="F45" s="56" t="s">
        <v>164</v>
      </c>
      <c r="G45" s="56" t="s">
        <v>215</v>
      </c>
      <c r="H45" s="56"/>
      <c r="I45" s="56"/>
      <c r="J45" s="56"/>
      <c r="K45" s="56"/>
      <c r="L45" s="56"/>
      <c r="M45" s="56"/>
      <c r="N45" s="56"/>
      <c r="O45" s="56"/>
    </row>
    <row r="46" spans="1:15" x14ac:dyDescent="0.25">
      <c r="A46" s="56"/>
      <c r="B46" s="56"/>
      <c r="C46" s="56"/>
      <c r="D46" s="56"/>
      <c r="E46" s="56"/>
      <c r="F46" s="56" t="s">
        <v>165</v>
      </c>
      <c r="G46" s="56" t="s">
        <v>216</v>
      </c>
      <c r="H46" s="56"/>
      <c r="I46" s="56"/>
      <c r="J46" s="56"/>
      <c r="K46" s="56"/>
      <c r="L46" s="56"/>
      <c r="M46" s="56"/>
      <c r="N46" s="56"/>
      <c r="O46" s="56"/>
    </row>
    <row r="47" spans="1:15" x14ac:dyDescent="0.25">
      <c r="A47" s="56"/>
      <c r="B47" s="56"/>
      <c r="C47" s="56"/>
      <c r="D47" s="56"/>
      <c r="E47" s="56"/>
      <c r="F47" s="56" t="s">
        <v>166</v>
      </c>
      <c r="G47" s="56" t="s">
        <v>217</v>
      </c>
      <c r="H47" s="56"/>
      <c r="I47" s="56"/>
      <c r="J47" s="56"/>
      <c r="K47" s="56"/>
      <c r="L47" s="56"/>
      <c r="M47" s="56"/>
      <c r="N47" s="56"/>
      <c r="O47" s="56"/>
    </row>
    <row r="48" spans="1:15" x14ac:dyDescent="0.25">
      <c r="A48" s="56"/>
      <c r="B48" s="56"/>
      <c r="C48" s="56"/>
      <c r="D48" s="56"/>
      <c r="E48" s="56"/>
      <c r="F48" s="56" t="s">
        <v>167</v>
      </c>
      <c r="G48" s="56" t="s">
        <v>218</v>
      </c>
      <c r="H48" s="56"/>
      <c r="I48" s="56"/>
      <c r="J48" s="56"/>
      <c r="K48" s="56"/>
      <c r="L48" s="56"/>
      <c r="M48" s="56"/>
      <c r="N48" s="56"/>
      <c r="O48" s="56"/>
    </row>
    <row r="49" spans="1:15" x14ac:dyDescent="0.25">
      <c r="A49" s="56"/>
      <c r="B49" s="56"/>
      <c r="C49" s="56"/>
      <c r="D49" s="56"/>
      <c r="E49" s="56"/>
      <c r="F49" s="56" t="s">
        <v>168</v>
      </c>
      <c r="G49" s="56" t="s">
        <v>219</v>
      </c>
      <c r="H49" s="56"/>
      <c r="I49" s="56"/>
      <c r="J49" s="56"/>
      <c r="K49" s="56"/>
      <c r="L49" s="56"/>
      <c r="M49" s="56"/>
      <c r="N49" s="56"/>
      <c r="O49" s="56"/>
    </row>
    <row r="50" spans="1:15" x14ac:dyDescent="0.25">
      <c r="A50" s="56"/>
      <c r="B50" s="56"/>
      <c r="C50" s="56"/>
      <c r="D50" s="56"/>
      <c r="E50" s="56"/>
      <c r="F50" s="56" t="s">
        <v>169</v>
      </c>
      <c r="G50" s="56" t="s">
        <v>220</v>
      </c>
      <c r="H50" s="56"/>
      <c r="I50" s="56"/>
      <c r="J50" s="56"/>
      <c r="K50" s="56"/>
      <c r="L50" s="56"/>
      <c r="M50" s="56"/>
      <c r="N50" s="56"/>
      <c r="O50" s="56"/>
    </row>
    <row r="51" spans="1:15" x14ac:dyDescent="0.25">
      <c r="A51" s="56"/>
      <c r="C51" s="56"/>
      <c r="D51" s="56"/>
      <c r="E51" s="56"/>
      <c r="F51" s="56" t="s">
        <v>170</v>
      </c>
      <c r="G51" s="56" t="s">
        <v>221</v>
      </c>
      <c r="H51" s="56"/>
      <c r="I51" s="56"/>
      <c r="J51" s="56"/>
      <c r="K51" s="56"/>
      <c r="L51" s="56"/>
      <c r="M51" s="56"/>
      <c r="N51" s="56"/>
      <c r="O51" s="56"/>
    </row>
  </sheetData>
  <sheetProtection algorithmName="SHA-512" hashValue="7SMMmFS92+JMrycWR4Oc8W8QMw7jao4cCkuh7EQGecaVsw15rX+0T6xhk2UDyyMjQ+TYt3tJu5r8x6hYJAY2FA==" saltValue="tNBY5WVYblIzRJnRDkGp4A==" spinCount="100000" sheet="1" objects="1" scenarios="1"/>
  <sortState ref="I2:I18">
    <sortCondition ref="I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vt:i4>
      </vt:variant>
    </vt:vector>
  </HeadingPairs>
  <TitlesOfParts>
    <vt:vector size="16" baseType="lpstr">
      <vt:lpstr>Welcome</vt:lpstr>
      <vt:lpstr>Alpha_Section</vt:lpstr>
      <vt:lpstr>Bravo_Section</vt:lpstr>
      <vt:lpstr>Charlie_Section</vt:lpstr>
      <vt:lpstr>Company</vt:lpstr>
      <vt:lpstr>Delta_Section</vt:lpstr>
      <vt:lpstr>Duties</vt:lpstr>
      <vt:lpstr>GS_Section</vt:lpstr>
      <vt:lpstr>HQ_Section</vt:lpstr>
      <vt:lpstr>Justification_of_Request</vt:lpstr>
      <vt:lpstr>Mode_of_Travel</vt:lpstr>
      <vt:lpstr>Nature_of_Request</vt:lpstr>
      <vt:lpstr>Rank</vt:lpstr>
      <vt:lpstr>Service_Section</vt:lpstr>
      <vt:lpstr>State</vt:lpstr>
      <vt:lpstr>State_Abbreviation</vt:lpstr>
    </vt:vector>
  </TitlesOfParts>
  <Company>USMC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Sgt Duncan A</cp:lastModifiedBy>
  <cp:lastPrinted>2019-10-02T13:01:05Z</cp:lastPrinted>
  <dcterms:created xsi:type="dcterms:W3CDTF">2019-07-24T17:43:11Z</dcterms:created>
  <dcterms:modified xsi:type="dcterms:W3CDTF">2020-01-28T21:59:51Z</dcterms:modified>
</cp:coreProperties>
</file>