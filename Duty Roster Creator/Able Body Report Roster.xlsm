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Duty Roster Creator\"/>
    </mc:Choice>
  </mc:AlternateContent>
  <workbookProtection workbookAlgorithmName="SHA-512" workbookHashValue="5SFrCorf0faPFqp+wS2NpG1R9LbHB4RtllOD33H1Ho1G4gR06W2U8LtELxl3wDwzp/dTEQJuaBDqJtaI8tBWqQ==" workbookSaltValue="ZK5FCxr/jj5j8faGQIMYIA==" workbookSpinCount="100000" lockStructure="1"/>
  <bookViews>
    <workbookView xWindow="-120" yWindow="-120" windowWidth="20730" windowHeight="11160"/>
  </bookViews>
  <sheets>
    <sheet name="Welcome" sheetId="8" r:id="rId1"/>
    <sheet name="Summary" sheetId="6" state="veryHidden" r:id="rId2"/>
    <sheet name="Available Bodies" sheetId="4" state="veryHidden" r:id="rId3"/>
    <sheet name="Medical" sheetId="9" state="veryHidden" r:id="rId4"/>
    <sheet name="Unavailable" sheetId="10" state="veryHidden" r:id="rId5"/>
    <sheet name="DevMode" sheetId="11" state="veryHidden" r:id="rId6"/>
  </sheets>
  <functionGroups builtInGroupCount="18"/>
  <definedNames>
    <definedName name="_xlnm._FilterDatabase" localSheetId="2" hidden="1">'Available Bodies'!$A$1:$K$1541</definedName>
    <definedName name="_xlnm._FilterDatabase" localSheetId="3" hidden="1">Medical!$A$1:$F$1</definedName>
    <definedName name="_xlnm._FilterDatabase" localSheetId="4" hidden="1">Unavailable!$A$1:$E$1</definedName>
    <definedName name="End" comment="End of Month">Summary!$B$3</definedName>
    <definedName name="Start">Summary!$A$3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13" i="6" l="1"/>
  <c r="AF12" i="6"/>
  <c r="AF15" i="6"/>
  <c r="AF17" i="6"/>
  <c r="C8" i="6"/>
  <c r="D8" i="6"/>
  <c r="E8" i="6"/>
  <c r="F8" i="6"/>
  <c r="G8" i="6"/>
  <c r="H8" i="6"/>
  <c r="I8" i="6"/>
  <c r="J8" i="6"/>
  <c r="K8" i="6"/>
  <c r="L8" i="6"/>
  <c r="M8" i="6"/>
  <c r="N8" i="6"/>
  <c r="O8" i="6"/>
  <c r="P8" i="6"/>
  <c r="Q8" i="6"/>
  <c r="R8" i="6"/>
  <c r="S8" i="6"/>
  <c r="T8" i="6"/>
  <c r="U8" i="6"/>
  <c r="V8" i="6"/>
  <c r="W8" i="6"/>
  <c r="X8" i="6"/>
  <c r="Y8" i="6"/>
  <c r="Z8" i="6"/>
  <c r="AA8" i="6"/>
  <c r="C10" i="6"/>
  <c r="D10" i="6"/>
  <c r="E10" i="6"/>
  <c r="F10" i="6"/>
  <c r="G10" i="6"/>
  <c r="H10" i="6"/>
  <c r="I10" i="6"/>
  <c r="J10" i="6"/>
  <c r="K10" i="6"/>
  <c r="L10" i="6"/>
  <c r="M10" i="6"/>
  <c r="N10" i="6"/>
  <c r="O10" i="6"/>
  <c r="P10" i="6"/>
  <c r="Q10" i="6"/>
  <c r="R10" i="6"/>
  <c r="S10" i="6"/>
  <c r="T10" i="6"/>
  <c r="U10" i="6"/>
  <c r="V10" i="6"/>
  <c r="W10" i="6"/>
  <c r="X10" i="6"/>
  <c r="Y10" i="6"/>
  <c r="Z10" i="6"/>
  <c r="AA10" i="6"/>
  <c r="C12" i="6"/>
  <c r="D12" i="6"/>
  <c r="E12" i="6"/>
  <c r="F12" i="6"/>
  <c r="G12" i="6"/>
  <c r="H12" i="6"/>
  <c r="I12" i="6"/>
  <c r="J12" i="6"/>
  <c r="K12" i="6"/>
  <c r="L12" i="6"/>
  <c r="M12" i="6"/>
  <c r="N12" i="6"/>
  <c r="O12" i="6"/>
  <c r="P12" i="6"/>
  <c r="Q12" i="6"/>
  <c r="R12" i="6"/>
  <c r="S12" i="6"/>
  <c r="T12" i="6"/>
  <c r="U12" i="6"/>
  <c r="V12" i="6"/>
  <c r="W12" i="6"/>
  <c r="X12" i="6"/>
  <c r="Y12" i="6"/>
  <c r="Z12" i="6"/>
  <c r="AA12" i="6"/>
  <c r="C7" i="6"/>
  <c r="D7" i="6"/>
  <c r="E7" i="6"/>
  <c r="F7" i="6"/>
  <c r="G7" i="6"/>
  <c r="H7" i="6"/>
  <c r="I7" i="6"/>
  <c r="J7" i="6"/>
  <c r="K7" i="6"/>
  <c r="L7" i="6"/>
  <c r="M7" i="6"/>
  <c r="N7" i="6"/>
  <c r="O7" i="6"/>
  <c r="P7" i="6"/>
  <c r="Q7" i="6"/>
  <c r="R7" i="6"/>
  <c r="S7" i="6"/>
  <c r="T7" i="6"/>
  <c r="U7" i="6"/>
  <c r="V7" i="6"/>
  <c r="W7" i="6"/>
  <c r="X7" i="6"/>
  <c r="Y7" i="6"/>
  <c r="Z7" i="6"/>
  <c r="AA7" i="6"/>
  <c r="B7" i="6"/>
  <c r="B8" i="6"/>
  <c r="B10" i="6"/>
  <c r="B12" i="6"/>
  <c r="AH8" i="6" l="1"/>
  <c r="R28" i="6" l="1"/>
  <c r="P28" i="6"/>
  <c r="N28" i="6"/>
  <c r="L28" i="6"/>
  <c r="J28" i="6"/>
  <c r="H28" i="6"/>
  <c r="F28" i="6"/>
  <c r="D28" i="6"/>
  <c r="B28" i="6"/>
  <c r="R18" i="6"/>
  <c r="P18" i="6"/>
  <c r="N18" i="6"/>
  <c r="L18" i="6"/>
  <c r="J18" i="6"/>
  <c r="H18" i="6"/>
  <c r="F18" i="6"/>
  <c r="D18" i="6"/>
  <c r="B18" i="6"/>
  <c r="AK10" i="6"/>
  <c r="AK9" i="6"/>
  <c r="AK8" i="6"/>
  <c r="AK7" i="6"/>
  <c r="AK6" i="6"/>
  <c r="AK5" i="6"/>
  <c r="AK4" i="6"/>
  <c r="AD18" i="6"/>
  <c r="AF18" i="6" s="1"/>
  <c r="AD17" i="6"/>
  <c r="AD16" i="6"/>
  <c r="AF16" i="6" s="1"/>
  <c r="AD15" i="6"/>
  <c r="AD14" i="6"/>
  <c r="AF14" i="6" s="1"/>
  <c r="AD13" i="6"/>
  <c r="AD12" i="6"/>
  <c r="A35" i="6"/>
  <c r="A34" i="6"/>
  <c r="A33" i="6"/>
  <c r="A32" i="6"/>
  <c r="A31" i="6"/>
  <c r="A30" i="6"/>
  <c r="A29" i="6"/>
  <c r="A25" i="6"/>
  <c r="A24" i="6"/>
  <c r="A23" i="6"/>
  <c r="A22" i="6"/>
  <c r="A21" i="6"/>
  <c r="A20" i="6"/>
  <c r="A13" i="6"/>
  <c r="A12" i="6"/>
  <c r="A11" i="6"/>
  <c r="A10" i="6"/>
  <c r="A9" i="6"/>
  <c r="A8" i="6"/>
  <c r="A7" i="6"/>
  <c r="A19" i="6"/>
  <c r="D11" i="6" l="1"/>
  <c r="H11" i="6"/>
  <c r="L11" i="6"/>
  <c r="P11" i="6"/>
  <c r="T11" i="6"/>
  <c r="X11" i="6"/>
  <c r="B11" i="6"/>
  <c r="F11" i="6"/>
  <c r="N11" i="6"/>
  <c r="V11" i="6"/>
  <c r="G11" i="6"/>
  <c r="K11" i="6"/>
  <c r="O11" i="6"/>
  <c r="W11" i="6"/>
  <c r="E11" i="6"/>
  <c r="I11" i="6"/>
  <c r="M11" i="6"/>
  <c r="Q11" i="6"/>
  <c r="U11" i="6"/>
  <c r="Y11" i="6"/>
  <c r="J11" i="6"/>
  <c r="R11" i="6"/>
  <c r="Z11" i="6"/>
  <c r="C11" i="6"/>
  <c r="S11" i="6"/>
  <c r="AA11" i="6"/>
  <c r="E13" i="6"/>
  <c r="I13" i="6"/>
  <c r="M13" i="6"/>
  <c r="Q13" i="6"/>
  <c r="U13" i="6"/>
  <c r="Y13" i="6"/>
  <c r="Z13" i="6"/>
  <c r="B13" i="6"/>
  <c r="H13" i="6"/>
  <c r="T13" i="6"/>
  <c r="F13" i="6"/>
  <c r="J13" i="6"/>
  <c r="N13" i="6"/>
  <c r="R13" i="6"/>
  <c r="V13" i="6"/>
  <c r="L13" i="6"/>
  <c r="X13" i="6"/>
  <c r="C13" i="6"/>
  <c r="G13" i="6"/>
  <c r="K13" i="6"/>
  <c r="O13" i="6"/>
  <c r="S13" i="6"/>
  <c r="W13" i="6"/>
  <c r="AA13" i="6"/>
  <c r="D13" i="6"/>
  <c r="P13" i="6"/>
  <c r="C9" i="6"/>
  <c r="G9" i="6"/>
  <c r="K9" i="6"/>
  <c r="O9" i="6"/>
  <c r="S9" i="6"/>
  <c r="W9" i="6"/>
  <c r="AA9" i="6"/>
  <c r="B9" i="6"/>
  <c r="J9" i="6"/>
  <c r="Z9" i="6"/>
  <c r="D9" i="6"/>
  <c r="H9" i="6"/>
  <c r="L9" i="6"/>
  <c r="P9" i="6"/>
  <c r="T9" i="6"/>
  <c r="X9" i="6"/>
  <c r="N9" i="6"/>
  <c r="V9" i="6"/>
  <c r="E9" i="6"/>
  <c r="I9" i="6"/>
  <c r="M9" i="6"/>
  <c r="Q9" i="6"/>
  <c r="U9" i="6"/>
  <c r="Y9" i="6"/>
  <c r="F9" i="6"/>
  <c r="R9" i="6"/>
  <c r="A3" i="6"/>
  <c r="E2" i="6" s="1"/>
  <c r="B3" i="6" l="1"/>
  <c r="H2" i="6" s="1"/>
  <c r="F14" i="6"/>
  <c r="J35" i="6"/>
  <c r="J25" i="6" s="1"/>
  <c r="J14" i="6" l="1"/>
  <c r="R14" i="6"/>
  <c r="N14" i="6"/>
  <c r="Y14" i="6"/>
  <c r="U14" i="6"/>
  <c r="Q14" i="6"/>
  <c r="M14" i="6"/>
  <c r="I14" i="6"/>
  <c r="H14" i="6"/>
  <c r="M37" i="6"/>
  <c r="E37" i="6"/>
  <c r="S37" i="6"/>
  <c r="K37" i="6"/>
  <c r="C37" i="6"/>
  <c r="Q37" i="6"/>
  <c r="I37" i="6"/>
  <c r="O37" i="6"/>
  <c r="G37" i="6"/>
  <c r="N29" i="6"/>
  <c r="N34" i="6"/>
  <c r="N24" i="6" s="1"/>
  <c r="L31" i="6"/>
  <c r="L21" i="6" s="1"/>
  <c r="J31" i="6"/>
  <c r="J21" i="6" s="1"/>
  <c r="AB10" i="6"/>
  <c r="J32" i="6"/>
  <c r="J22" i="6" s="1"/>
  <c r="P32" i="6"/>
  <c r="P22" i="6" s="1"/>
  <c r="L32" i="6"/>
  <c r="L22" i="6" s="1"/>
  <c r="R32" i="6"/>
  <c r="R22" i="6" s="1"/>
  <c r="N32" i="6"/>
  <c r="N22" i="6" s="1"/>
  <c r="H32" i="6"/>
  <c r="H22" i="6" s="1"/>
  <c r="L30" i="6"/>
  <c r="L20" i="6" s="1"/>
  <c r="J30" i="6"/>
  <c r="J20" i="6" s="1"/>
  <c r="AB11" i="6"/>
  <c r="R33" i="6"/>
  <c r="R23" i="6" s="1"/>
  <c r="P33" i="6"/>
  <c r="P23" i="6" s="1"/>
  <c r="N33" i="6"/>
  <c r="N23" i="6" s="1"/>
  <c r="AB13" i="6"/>
  <c r="R35" i="6"/>
  <c r="R25" i="6" s="1"/>
  <c r="P35" i="6"/>
  <c r="P25" i="6" s="1"/>
  <c r="E14" i="6"/>
  <c r="H30" i="6"/>
  <c r="H20" i="6" s="1"/>
  <c r="AB12" i="6"/>
  <c r="R34" i="6"/>
  <c r="R24" i="6" s="1"/>
  <c r="P34" i="6"/>
  <c r="P24" i="6" s="1"/>
  <c r="H31" i="6"/>
  <c r="H21" i="6" s="1"/>
  <c r="N35" i="6"/>
  <c r="N25" i="6" s="1"/>
  <c r="R29" i="6"/>
  <c r="P29" i="6"/>
  <c r="AH7" i="6"/>
  <c r="S14" i="6"/>
  <c r="O14" i="6"/>
  <c r="K14" i="6"/>
  <c r="G14" i="6"/>
  <c r="C14" i="6"/>
  <c r="L14" i="6"/>
  <c r="D14" i="6"/>
  <c r="P14" i="6"/>
  <c r="AB9" i="6"/>
  <c r="V14" i="6"/>
  <c r="N30" i="6"/>
  <c r="N20" i="6" s="1"/>
  <c r="AB8" i="6"/>
  <c r="X14" i="6"/>
  <c r="T14" i="6"/>
  <c r="AA14" i="6"/>
  <c r="W14" i="6"/>
  <c r="Z14" i="6"/>
  <c r="B33" i="6"/>
  <c r="B23" i="6" s="1"/>
  <c r="H35" i="6"/>
  <c r="H25" i="6" s="1"/>
  <c r="B14" i="6"/>
  <c r="B34" i="6"/>
  <c r="B35" i="6"/>
  <c r="B25" i="6" s="1"/>
  <c r="B32" i="6"/>
  <c r="B22" i="6" s="1"/>
  <c r="F29" i="6"/>
  <c r="L29" i="6"/>
  <c r="D34" i="6"/>
  <c r="D24" i="6" s="1"/>
  <c r="D30" i="6"/>
  <c r="D20" i="6" s="1"/>
  <c r="F32" i="6"/>
  <c r="F22" i="6" s="1"/>
  <c r="H34" i="6"/>
  <c r="H24" i="6" s="1"/>
  <c r="L34" i="6"/>
  <c r="L24" i="6" s="1"/>
  <c r="P30" i="6"/>
  <c r="P20" i="6" s="1"/>
  <c r="J29" i="6"/>
  <c r="H29" i="6"/>
  <c r="D33" i="6"/>
  <c r="D23" i="6" s="1"/>
  <c r="F35" i="6"/>
  <c r="F25" i="6" s="1"/>
  <c r="F31" i="6"/>
  <c r="F21" i="6" s="1"/>
  <c r="H33" i="6"/>
  <c r="H23" i="6" s="1"/>
  <c r="L33" i="6"/>
  <c r="L23" i="6" s="1"/>
  <c r="N31" i="6"/>
  <c r="N21" i="6" s="1"/>
  <c r="R31" i="6"/>
  <c r="R21" i="6" s="1"/>
  <c r="B30" i="6"/>
  <c r="B20" i="6" s="1"/>
  <c r="D32" i="6"/>
  <c r="D22" i="6" s="1"/>
  <c r="F34" i="6"/>
  <c r="F24" i="6" s="1"/>
  <c r="F30" i="6"/>
  <c r="F20" i="6" s="1"/>
  <c r="J34" i="6"/>
  <c r="J24" i="6" s="1"/>
  <c r="R30" i="6"/>
  <c r="R20" i="6" s="1"/>
  <c r="B31" i="6"/>
  <c r="B21" i="6" s="1"/>
  <c r="D29" i="6"/>
  <c r="D35" i="6"/>
  <c r="D25" i="6" s="1"/>
  <c r="D31" i="6"/>
  <c r="D21" i="6" s="1"/>
  <c r="F33" i="6"/>
  <c r="F23" i="6" s="1"/>
  <c r="J33" i="6"/>
  <c r="J23" i="6" s="1"/>
  <c r="L35" i="6"/>
  <c r="L25" i="6" s="1"/>
  <c r="P31" i="6"/>
  <c r="P21" i="6" s="1"/>
  <c r="AB7" i="6"/>
  <c r="B29" i="6"/>
  <c r="D37" i="6"/>
  <c r="F37" i="6"/>
  <c r="N37" i="6"/>
  <c r="AJ5" i="6" l="1"/>
  <c r="AJ9" i="6"/>
  <c r="AJ10" i="6"/>
  <c r="AJ8" i="6"/>
  <c r="AJ7" i="6"/>
  <c r="AJ6" i="6"/>
  <c r="N19" i="6"/>
  <c r="P19" i="6"/>
  <c r="B19" i="6"/>
  <c r="D19" i="6"/>
  <c r="H19" i="6"/>
  <c r="L19" i="6"/>
  <c r="B24" i="6"/>
  <c r="R19" i="6"/>
  <c r="J19" i="6"/>
  <c r="F19" i="6"/>
  <c r="N36" i="6"/>
  <c r="P36" i="6"/>
  <c r="L36" i="6"/>
  <c r="B36" i="6"/>
  <c r="D36" i="6"/>
  <c r="H36" i="6"/>
  <c r="R36" i="6"/>
  <c r="J36" i="6"/>
  <c r="F36" i="6"/>
  <c r="AH6" i="6"/>
  <c r="AJ4" i="6"/>
  <c r="AB14" i="6"/>
  <c r="L37" i="6"/>
  <c r="B37" i="6"/>
  <c r="P37" i="6"/>
  <c r="R37" i="6"/>
  <c r="H37" i="6"/>
  <c r="J37" i="6"/>
  <c r="AH9" i="6" l="1"/>
  <c r="R38" i="6"/>
  <c r="S29" i="6" s="1"/>
  <c r="R26" i="6"/>
  <c r="B38" i="6"/>
  <c r="C33" i="6" s="1"/>
  <c r="C23" i="6" s="1"/>
  <c r="B26" i="6"/>
  <c r="N38" i="6"/>
  <c r="O30" i="6" s="1"/>
  <c r="N26" i="6"/>
  <c r="F38" i="6"/>
  <c r="G30" i="6" s="1"/>
  <c r="F26" i="6"/>
  <c r="H38" i="6"/>
  <c r="I31" i="6" s="1"/>
  <c r="I21" i="6" s="1"/>
  <c r="H26" i="6"/>
  <c r="L38" i="6"/>
  <c r="M30" i="6" s="1"/>
  <c r="M20" i="6" s="1"/>
  <c r="L26" i="6"/>
  <c r="J38" i="6"/>
  <c r="K31" i="6" s="1"/>
  <c r="K21" i="6" s="1"/>
  <c r="J26" i="6"/>
  <c r="D38" i="6"/>
  <c r="E29" i="6" s="1"/>
  <c r="D26" i="6"/>
  <c r="P38" i="6"/>
  <c r="Q35" i="6" s="1"/>
  <c r="Q25" i="6" s="1"/>
  <c r="P26" i="6"/>
  <c r="O35" i="6" l="1"/>
  <c r="O25" i="6" s="1"/>
  <c r="I32" i="6"/>
  <c r="I22" i="6" s="1"/>
  <c r="O29" i="6"/>
  <c r="O33" i="6"/>
  <c r="O23" i="6" s="1"/>
  <c r="S33" i="6"/>
  <c r="S23" i="6" s="1"/>
  <c r="S34" i="6"/>
  <c r="S24" i="6" s="1"/>
  <c r="S31" i="6"/>
  <c r="C32" i="6"/>
  <c r="C22" i="6" s="1"/>
  <c r="Q30" i="6"/>
  <c r="Q31" i="6"/>
  <c r="K33" i="6"/>
  <c r="K23" i="6" s="1"/>
  <c r="I33" i="6"/>
  <c r="I23" i="6" s="1"/>
  <c r="K34" i="6"/>
  <c r="Q32" i="6"/>
  <c r="Q22" i="6" s="1"/>
  <c r="K29" i="6"/>
  <c r="I30" i="6"/>
  <c r="I20" i="6" s="1"/>
  <c r="Q33" i="6"/>
  <c r="Q23" i="6" s="1"/>
  <c r="K35" i="6"/>
  <c r="I29" i="6"/>
  <c r="I34" i="6"/>
  <c r="S30" i="6"/>
  <c r="S35" i="6"/>
  <c r="S25" i="6" s="1"/>
  <c r="Q34" i="6"/>
  <c r="Q24" i="6" s="1"/>
  <c r="E32" i="6"/>
  <c r="E22" i="6" s="1"/>
  <c r="K32" i="6"/>
  <c r="K22" i="6" s="1"/>
  <c r="O32" i="6"/>
  <c r="O22" i="6" s="1"/>
  <c r="O31" i="6"/>
  <c r="I35" i="6"/>
  <c r="S32" i="6"/>
  <c r="S22" i="6" s="1"/>
  <c r="Q29" i="6"/>
  <c r="K30" i="6"/>
  <c r="K20" i="6" s="1"/>
  <c r="O34" i="6"/>
  <c r="O24" i="6" s="1"/>
  <c r="G29" i="6"/>
  <c r="M34" i="6"/>
  <c r="C30" i="6"/>
  <c r="M31" i="6"/>
  <c r="M21" i="6" s="1"/>
  <c r="G35" i="6"/>
  <c r="C34" i="6"/>
  <c r="G34" i="6"/>
  <c r="G24" i="6" s="1"/>
  <c r="E30" i="6"/>
  <c r="M32" i="6"/>
  <c r="M22" i="6" s="1"/>
  <c r="G31" i="6"/>
  <c r="C31" i="6"/>
  <c r="E31" i="6"/>
  <c r="M33" i="6"/>
  <c r="M35" i="6"/>
  <c r="G33" i="6"/>
  <c r="G23" i="6" s="1"/>
  <c r="E33" i="6"/>
  <c r="E23" i="6" s="1"/>
  <c r="G32" i="6"/>
  <c r="G22" i="6" s="1"/>
  <c r="C29" i="6"/>
  <c r="C35" i="6"/>
  <c r="E34" i="6"/>
  <c r="E24" i="6" s="1"/>
  <c r="M29" i="6"/>
  <c r="E35" i="6"/>
  <c r="T22" i="6" l="1"/>
  <c r="I36" i="6"/>
  <c r="I19" i="6" s="1"/>
  <c r="K36" i="6"/>
  <c r="K19" i="6" s="1"/>
  <c r="Q36" i="6"/>
  <c r="Q19" i="6" s="1"/>
  <c r="S36" i="6"/>
  <c r="S19" i="6" s="1"/>
  <c r="O36" i="6"/>
  <c r="C36" i="6"/>
  <c r="C24" i="6" s="1"/>
  <c r="M36" i="6"/>
  <c r="M19" i="6" s="1"/>
  <c r="G36" i="6"/>
  <c r="E36" i="6"/>
  <c r="E19" i="6" s="1"/>
  <c r="O19" i="6" l="1"/>
  <c r="O20" i="6"/>
  <c r="E20" i="6"/>
  <c r="G19" i="6"/>
  <c r="G20" i="6"/>
  <c r="Q20" i="6"/>
  <c r="C20" i="6"/>
  <c r="S20" i="6"/>
  <c r="M23" i="6"/>
  <c r="T23" i="6" s="1"/>
  <c r="AE16" i="6" s="1"/>
  <c r="C21" i="6"/>
  <c r="I24" i="6"/>
  <c r="C25" i="6"/>
  <c r="K24" i="6"/>
  <c r="G21" i="6"/>
  <c r="M24" i="6"/>
  <c r="E21" i="6"/>
  <c r="AG15" i="6"/>
  <c r="AE15" i="6"/>
  <c r="S21" i="6"/>
  <c r="E25" i="6"/>
  <c r="O21" i="6"/>
  <c r="Q21" i="6"/>
  <c r="Q26" i="6" s="1"/>
  <c r="M25" i="6"/>
  <c r="G25" i="6"/>
  <c r="K25" i="6"/>
  <c r="I25" i="6"/>
  <c r="C19" i="6"/>
  <c r="K26" i="6" l="1"/>
  <c r="T20" i="6"/>
  <c r="AG16" i="6"/>
  <c r="T19" i="6"/>
  <c r="M26" i="6"/>
  <c r="G26" i="6"/>
  <c r="T24" i="6"/>
  <c r="AE17" i="6" s="1"/>
  <c r="T25" i="6"/>
  <c r="T21" i="6"/>
  <c r="O26" i="6"/>
  <c r="I26" i="6"/>
  <c r="E26" i="6"/>
  <c r="S26" i="6"/>
  <c r="C26" i="6"/>
  <c r="AE13" i="6" l="1"/>
  <c r="AG13" i="6"/>
  <c r="AG17" i="6"/>
  <c r="AG18" i="6"/>
  <c r="AE18" i="6"/>
  <c r="AG14" i="6"/>
  <c r="AE14" i="6"/>
  <c r="AG12" i="6"/>
  <c r="AE12" i="6"/>
  <c r="T26" i="6"/>
</calcChain>
</file>

<file path=xl/comments1.xml><?xml version="1.0" encoding="utf-8"?>
<comments xmlns="http://schemas.openxmlformats.org/spreadsheetml/2006/main">
  <authors>
    <author>Jeffreys, Duncan</author>
  </authors>
  <commentList>
    <comment ref="AE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<sst xmlns="http://schemas.openxmlformats.org/spreadsheetml/2006/main" count="137" uniqueCount="117">
  <si>
    <t>Rank</t>
  </si>
  <si>
    <t>EDIPI</t>
  </si>
  <si>
    <t>Category</t>
  </si>
  <si>
    <t>Duty Status</t>
  </si>
  <si>
    <t>PFC</t>
  </si>
  <si>
    <t>CWO3</t>
  </si>
  <si>
    <t>CWO2</t>
  </si>
  <si>
    <t>Pvt</t>
  </si>
  <si>
    <t>LCpl</t>
  </si>
  <si>
    <t>Cpl</t>
  </si>
  <si>
    <t>Sgt</t>
  </si>
  <si>
    <t>SSgt</t>
  </si>
  <si>
    <t>GySgt</t>
  </si>
  <si>
    <t>MSgt</t>
  </si>
  <si>
    <t>MGySgt</t>
  </si>
  <si>
    <t>SgtMaj</t>
  </si>
  <si>
    <t>WO1</t>
  </si>
  <si>
    <t>CWO4</t>
  </si>
  <si>
    <t>CWO5</t>
  </si>
  <si>
    <t>2ndLt</t>
  </si>
  <si>
    <t>1stLt</t>
  </si>
  <si>
    <t>Capt</t>
  </si>
  <si>
    <t>Maj</t>
  </si>
  <si>
    <t>LtCol</t>
  </si>
  <si>
    <t>Col</t>
  </si>
  <si>
    <t xml:space="preserve">BGen </t>
  </si>
  <si>
    <t xml:space="preserve">MajGen </t>
  </si>
  <si>
    <t>LtGen</t>
  </si>
  <si>
    <t>Gen</t>
  </si>
  <si>
    <t>1stSgt</t>
  </si>
  <si>
    <t>TOTAL</t>
  </si>
  <si>
    <t>Month</t>
  </si>
  <si>
    <t>Year</t>
  </si>
  <si>
    <t>Alpha</t>
  </si>
  <si>
    <t>Charlie</t>
  </si>
  <si>
    <t>Delta</t>
  </si>
  <si>
    <t>GS</t>
  </si>
  <si>
    <t>SVC</t>
  </si>
  <si>
    <t>OOD</t>
  </si>
  <si>
    <t>AOOD</t>
  </si>
  <si>
    <t>Duty Driver</t>
  </si>
  <si>
    <t>DNCO (FC-370)</t>
  </si>
  <si>
    <t>ADNCO (FC-370)</t>
  </si>
  <si>
    <t>Rovers (FC-370)</t>
  </si>
  <si>
    <t>HQ</t>
  </si>
  <si>
    <t>Bravo</t>
  </si>
  <si>
    <t>Number of Duties this Month</t>
  </si>
  <si>
    <t>Total Number of Companies</t>
  </si>
  <si>
    <t>Largest Company</t>
  </si>
  <si>
    <t xml:space="preserve">Summary </t>
  </si>
  <si>
    <t>Largest</t>
  </si>
  <si>
    <t>Out of all Duty</t>
  </si>
  <si>
    <t>Total</t>
  </si>
  <si>
    <t>Co.</t>
  </si>
  <si>
    <t>Duty Slots</t>
  </si>
  <si>
    <t>Tasked /w Duty</t>
  </si>
  <si>
    <t>Duty's Given</t>
  </si>
  <si>
    <t>Figure 1</t>
  </si>
  <si>
    <t>Figure 2</t>
  </si>
  <si>
    <t>Figure 3</t>
  </si>
  <si>
    <t>Name</t>
  </si>
  <si>
    <t>Sex</t>
  </si>
  <si>
    <t>Full Unit Code</t>
  </si>
  <si>
    <t>Start Date</t>
  </si>
  <si>
    <t>End Date</t>
  </si>
  <si>
    <t>Company</t>
  </si>
  <si>
    <t>Platoon</t>
  </si>
  <si>
    <t>Figure 4</t>
  </si>
  <si>
    <t>StartDate</t>
  </si>
  <si>
    <t>DBS-Days</t>
  </si>
  <si>
    <t>DBE-Days</t>
  </si>
  <si>
    <t>Start Date (DB)</t>
  </si>
  <si>
    <t>End Date (DB)</t>
  </si>
  <si>
    <t>Non-Availability Data</t>
  </si>
  <si>
    <t>Medical Exemption Data</t>
  </si>
  <si>
    <t>Available Bodies Roster</t>
  </si>
  <si>
    <t>C</t>
  </si>
  <si>
    <t>B</t>
  </si>
  <si>
    <t>A</t>
  </si>
  <si>
    <t>D</t>
  </si>
  <si>
    <t>Duty Position Breakdown</t>
  </si>
  <si>
    <t>March</t>
  </si>
  <si>
    <t>DNCO (FC-481)</t>
  </si>
  <si>
    <t>ADNCO (FC-481)</t>
  </si>
  <si>
    <t>Rovers (FC-481)</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</si>
  <si>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</si>
  <si>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Company List</t>
  </si>
  <si>
    <t>Duty Positions</t>
  </si>
  <si>
    <t>Password</t>
  </si>
  <si>
    <t>DutyR0$t3r</t>
  </si>
  <si>
    <t>Company Abbreviation</t>
  </si>
  <si>
    <t>The italicized numbers displayed to the left are not an accurate reflection of a company’s manpower, they merely display the number of Able-Bodied Marines each company has that can potentially stand the Duty Position annotated. 
The non- italicized and non-bolded numbers displayed to the left are the suggested number of duty slots to give each respective company for each position based on the Marines they have that can stand said position.</t>
  </si>
  <si>
    <t>Total Able-Bodied Personnel</t>
  </si>
  <si>
    <t>Able-Bodied Marines</t>
  </si>
  <si>
    <t>Sheet 2</t>
  </si>
  <si>
    <t>Sheet 3</t>
  </si>
  <si>
    <t>Sheet 4</t>
  </si>
  <si>
    <t>Sheet 5</t>
  </si>
  <si>
    <t>FC-370</t>
  </si>
  <si>
    <t>FC-481</t>
  </si>
  <si>
    <t>FC-300</t>
  </si>
  <si>
    <t>Supernumerary</t>
  </si>
  <si>
    <t>Sheet/Roster Names for the Duty Roster Document</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</si>
  <si>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</si>
  <si>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</si>
  <si>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</si>
  <si>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</si>
  <si>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Website:</t>
  </si>
  <si>
    <t>Contact:</t>
  </si>
  <si>
    <t>jeffreysda@gmail.com</t>
  </si>
  <si>
    <t>https://github.com/JeffreysDA</t>
  </si>
  <si>
    <t>To check for updates, report an issue, or make a request/suggestion, contact me at</t>
  </si>
  <si>
    <t>H</t>
  </si>
  <si>
    <t>G</t>
  </si>
  <si>
    <t>S</t>
  </si>
  <si>
    <t>Company Letter (Morning Report)</t>
  </si>
  <si>
    <t>Version: 1.8</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</si>
</sst>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b/>
      <sz val="24"/>
      <color theme="1"/>
      <name val="Calibri"/>
      <family val="2"/>
      <scheme val="minor"/>
    </font>
    <font>
      <b/>
      <sz val="26"/>
      <color theme="1"/>
      <name val="Calibri"/>
      <family val="2"/>
      <scheme val="minor"/>
    </font>
    <font>
      <b/>
      <sz val="11"/>
      <color theme="0"/>
      <name val="Calibri"/>
      <family val="2"/>
      <scheme val="minor"/>
    </font>
    <font>
      <b/>
      <i/>
      <sz val="11"/>
      <color theme="1"/>
      <name val="Calibri"/>
      <family val="2"/>
      <scheme val="minor"/>
    </font>
    <font>
      <i/>
      <sz val="11"/>
      <color theme="1"/>
      <name val="Calibri"/>
      <family val="2"/>
      <scheme val="minor"/>
    </font>
    <font>
      <i/>
      <sz val="11"/>
      <color theme="0"/>
      <name val="Calibri"/>
      <family val="2"/>
      <scheme val="minor"/>
    </font>
    <font>
      <b/>
      <sz val="10"/>
      <color theme="1"/>
      <name val="Calibri"/>
      <family val="2"/>
      <scheme val="minor"/>
    </font>
    <font>
      <b/>
      <sz val="11"/>
      <color rgb="FFFF0000"/>
      <name val="Calibri"/>
      <family val="2"/>
      <scheme val="minor"/>
    </font>
    <font>
      <sz val="11"/>
      <color theme="9" tint="0.79998168889431442"/>
      <name val="Calibri"/>
      <family val="2"/>
      <scheme val="minor"/>
    </font>
    <font>
      <b/>
      <sz val="11"/>
      <color theme="9" tint="0.79998168889431442"/>
      <name val="Calibri"/>
      <family val="2"/>
      <scheme val="minor"/>
    </font>
    <font>
      <b/>
      <sz val="11"/>
      <color rgb="FF000000"/>
      <name val="Calibri"/>
      <family val="2"/>
    </font>
    <font>
      <b/>
      <sz val="11"/>
      <color rgb="FFC00000"/>
      <name val="Calibri"/>
      <family val="2"/>
      <scheme val="minor"/>
    </font>
    <font>
      <sz val="11"/>
      <color rgb="FF000000"/>
      <name val="Calibri"/>
      <family val="2"/>
    </font>
    <font>
      <b/>
      <sz val="11"/>
      <color rgb="FF0000FF"/>
      <name val="Calibri"/>
      <family val="2"/>
      <scheme val="minor"/>
    </font>
    <font>
      <b/>
      <u/>
      <sz val="11"/>
      <color theme="1"/>
      <name val="Calibri"/>
      <family val="2"/>
      <scheme val="minor"/>
    </font>
    <font>
      <u/>
      <sz val="11"/>
      <color theme="10"/>
      <name val="Calibri"/>
      <family val="2"/>
      <scheme val="minor"/>
    </font>
    <font>
      <sz val="10.5"/>
      <color theme="10"/>
      <name val="Calibri"/>
      <family val="2"/>
      <scheme val="minor"/>
    </font>
    <font>
      <sz val="10.5"/>
      <color theme="1"/>
      <name val="Calibri"/>
      <family val="2"/>
      <scheme val="minor"/>
    </font>
    <font>
      <b/>
      <sz val="9"/>
      <color indexed="81"/>
      <name val="Tahoma"/>
      <family val="2"/>
    </font>
    <font>
      <sz val="9"/>
      <color indexed="81"/>
      <name val="Tahoma"/>
      <family val="2"/>
    </font>
  </fonts>
  <fills count="35">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rgb="FF7030A0"/>
        <bgColor indexed="64"/>
      </patternFill>
    </fill>
    <fill>
      <patternFill patternType="solid">
        <fgColor theme="2" tint="-0.499984740745262"/>
        <bgColor indexed="64"/>
      </patternFill>
    </fill>
    <fill>
      <patternFill patternType="solid">
        <fgColor rgb="FF5B9BD5"/>
        <bgColor indexed="64"/>
      </patternFill>
    </fill>
    <fill>
      <patternFill patternType="solid">
        <fgColor rgb="FFFFFF00"/>
        <bgColor indexed="64"/>
      </patternFill>
    </fill>
    <fill>
      <patternFill patternType="solid">
        <fgColor rgb="FF70AD47"/>
        <bgColor indexed="64"/>
      </patternFill>
    </fill>
    <fill>
      <patternFill patternType="solid">
        <fgColor rgb="FFFF0000"/>
        <bgColor indexed="64"/>
      </patternFill>
    </fill>
    <fill>
      <patternFill patternType="solid">
        <fgColor rgb="FF000000"/>
        <bgColor indexed="64"/>
      </patternFill>
    </fill>
    <fill>
      <patternFill patternType="solid">
        <fgColor theme="0" tint="-0.34998626667073579"/>
        <bgColor indexed="64"/>
      </patternFill>
    </fill>
    <fill>
      <patternFill patternType="solid">
        <fgColor rgb="FF44546A"/>
        <bgColor indexed="64"/>
      </patternFill>
    </fill>
    <fill>
      <patternFill patternType="solid">
        <fgColor rgb="FFBDD7EE"/>
        <bgColor indexed="64"/>
      </patternFill>
    </fill>
    <fill>
      <patternFill patternType="solid">
        <fgColor rgb="FFFFE699"/>
        <bgColor indexed="64"/>
      </patternFill>
    </fill>
    <fill>
      <patternFill patternType="solid">
        <fgColor rgb="FFC6E0B4"/>
        <bgColor indexed="64"/>
      </patternFill>
    </fill>
    <fill>
      <patternFill patternType="solid">
        <fgColor rgb="FFA86ED4"/>
        <bgColor indexed="64"/>
      </patternFill>
    </fill>
    <fill>
      <patternFill patternType="solid">
        <fgColor rgb="FF595959"/>
        <bgColor indexed="64"/>
      </patternFill>
    </fill>
    <fill>
      <patternFill patternType="solid">
        <fgColor rgb="FFFF5A5A"/>
        <bgColor indexed="64"/>
      </patternFill>
    </fill>
    <fill>
      <patternFill patternType="solid">
        <fgColor rgb="FFACB9CA"/>
        <bgColor indexed="64"/>
      </patternFill>
    </fill>
    <fill>
      <patternFill patternType="solid">
        <fgColor theme="2" tint="-0.249977111117893"/>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FFFFCC"/>
      </patternFill>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s>
  <borders count="70">
    <border>
      <left/>
      <right/>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indexed="64"/>
      </bottom>
      <diagonal/>
    </border>
    <border>
      <left/>
      <right/>
      <top style="thin">
        <color indexed="64"/>
      </top>
      <bottom style="medium">
        <color indexed="64"/>
      </bottom>
      <diagonal/>
    </border>
  </borders>
  <cellStyleXfs count="4">
    <xf numFmtId="0" fontId="0" fillId="0" borderId="0"/>
    <xf numFmtId="9" fontId="3" fillId="0" borderId="0" applyFont="0" applyFill="0" applyBorder="0" applyAlignment="0" applyProtection="0"/>
    <xf numFmtId="0" fontId="3" fillId="26" borderId="41" applyNumberFormat="0" applyFont="0" applyAlignment="0" applyProtection="0"/>
    <xf numFmtId="0" fontId="22" fillId="0" borderId="0" applyNumberFormat="0" applyFill="0" applyBorder="0" applyAlignment="0" applyProtection="0"/>
  </cellStyleXfs>
  <cellXfs count="252">
    <xf numFmtId="0" fontId="0" fillId="0" borderId="0" xfId="0"/>
    <xf numFmtId="0" fontId="1" fillId="3" borderId="2" xfId="0" applyFont="1" applyFill="1" applyBorder="1" applyAlignment="1" applyProtection="1">
      <alignment horizontal="center" vertical="center"/>
    </xf>
    <xf numFmtId="0" fontId="0" fillId="0" borderId="0" xfId="0" applyProtection="1"/>
    <xf numFmtId="0" fontId="5" fillId="11" borderId="32" xfId="0" applyFont="1" applyFill="1" applyBorder="1" applyAlignment="1" applyProtection="1">
      <alignment horizontal="center" vertical="center"/>
    </xf>
    <xf numFmtId="0" fontId="0" fillId="0" borderId="0" xfId="0" applyAlignment="1" applyProtection="1">
      <alignment horizontal="center" vertical="center"/>
    </xf>
    <xf numFmtId="0" fontId="6" fillId="11" borderId="32" xfId="0" applyFont="1" applyFill="1" applyBorder="1" applyAlignment="1" applyProtection="1">
      <alignment horizontal="center" vertical="center"/>
    </xf>
    <xf numFmtId="0" fontId="2" fillId="5" borderId="1" xfId="0" applyFont="1" applyFill="1" applyBorder="1" applyProtection="1"/>
    <xf numFmtId="0" fontId="1" fillId="11" borderId="24" xfId="0" applyFont="1" applyFill="1" applyBorder="1" applyAlignment="1" applyProtection="1">
      <alignment horizontal="center" vertical="center"/>
    </xf>
    <xf numFmtId="0" fontId="1" fillId="6" borderId="8" xfId="0" applyFont="1" applyFill="1" applyBorder="1" applyProtection="1"/>
    <xf numFmtId="0" fontId="0" fillId="13" borderId="9" xfId="0" applyFill="1" applyBorder="1" applyAlignment="1" applyProtection="1">
      <alignment horizontal="center" vertical="center"/>
    </xf>
    <xf numFmtId="0" fontId="1" fillId="2" borderId="8" xfId="0" applyFont="1" applyFill="1" applyBorder="1" applyProtection="1"/>
    <xf numFmtId="0" fontId="1" fillId="8" borderId="8" xfId="0" applyFont="1" applyFill="1" applyBorder="1" applyProtection="1"/>
    <xf numFmtId="0" fontId="1" fillId="4" borderId="8" xfId="0" applyFont="1" applyFill="1" applyBorder="1" applyProtection="1"/>
    <xf numFmtId="0" fontId="9" fillId="10" borderId="8" xfId="0" applyFont="1" applyFill="1" applyBorder="1" applyProtection="1"/>
    <xf numFmtId="0" fontId="1" fillId="9" borderId="8" xfId="0" applyFont="1" applyFill="1" applyBorder="1" applyProtection="1"/>
    <xf numFmtId="0" fontId="1" fillId="6" borderId="38" xfId="0" applyFont="1" applyFill="1" applyBorder="1" applyProtection="1"/>
    <xf numFmtId="10" fontId="0" fillId="22" borderId="9" xfId="1" applyNumberFormat="1" applyFont="1" applyFill="1" applyBorder="1" applyAlignment="1" applyProtection="1">
      <alignment horizontal="center"/>
    </xf>
    <xf numFmtId="0" fontId="0" fillId="22" borderId="10" xfId="1" applyNumberFormat="1" applyFont="1" applyFill="1" applyBorder="1" applyAlignment="1" applyProtection="1">
      <alignment horizontal="center"/>
    </xf>
    <xf numFmtId="10" fontId="0" fillId="22" borderId="10" xfId="1" applyNumberFormat="1" applyFont="1" applyFill="1" applyBorder="1" applyAlignment="1" applyProtection="1">
      <alignment horizontal="center"/>
    </xf>
    <xf numFmtId="0" fontId="1" fillId="12" borderId="8" xfId="0" applyFont="1" applyFill="1" applyBorder="1" applyProtection="1"/>
    <xf numFmtId="0" fontId="1" fillId="2" borderId="39" xfId="0" applyFont="1" applyFill="1" applyBorder="1" applyProtection="1"/>
    <xf numFmtId="10" fontId="0" fillId="23" borderId="12" xfId="1" applyNumberFormat="1" applyFont="1" applyFill="1" applyBorder="1" applyAlignment="1" applyProtection="1">
      <alignment horizontal="center"/>
    </xf>
    <xf numFmtId="0" fontId="0" fillId="23" borderId="4" xfId="1" applyNumberFormat="1" applyFont="1" applyFill="1" applyBorder="1" applyAlignment="1" applyProtection="1">
      <alignment horizontal="center"/>
    </xf>
    <xf numFmtId="10" fontId="0" fillId="23" borderId="4" xfId="1" applyNumberFormat="1" applyFont="1" applyFill="1" applyBorder="1" applyAlignment="1" applyProtection="1">
      <alignment horizontal="center"/>
    </xf>
    <xf numFmtId="0" fontId="1" fillId="11" borderId="8" xfId="0" applyFont="1" applyFill="1" applyBorder="1" applyProtection="1"/>
    <xf numFmtId="0" fontId="1" fillId="7" borderId="2" xfId="0" applyFont="1" applyFill="1" applyBorder="1" applyAlignment="1" applyProtection="1">
      <alignment horizontal="center" vertical="center"/>
    </xf>
    <xf numFmtId="0" fontId="1" fillId="8" borderId="39" xfId="0" applyFont="1" applyFill="1" applyBorder="1" applyProtection="1"/>
    <xf numFmtId="10" fontId="0" fillId="24" borderId="12" xfId="1" applyNumberFormat="1" applyFont="1" applyFill="1" applyBorder="1" applyAlignment="1" applyProtection="1">
      <alignment horizontal="center"/>
    </xf>
    <xf numFmtId="0" fontId="0" fillId="24" borderId="4" xfId="1" applyNumberFormat="1" applyFont="1" applyFill="1" applyBorder="1" applyAlignment="1" applyProtection="1">
      <alignment horizontal="center"/>
    </xf>
    <xf numFmtId="10" fontId="0" fillId="24" borderId="4" xfId="1" applyNumberFormat="1" applyFont="1" applyFill="1" applyBorder="1" applyAlignment="1" applyProtection="1">
      <alignment horizontal="center"/>
    </xf>
    <xf numFmtId="0" fontId="0" fillId="0" borderId="0" xfId="0" applyFill="1" applyProtection="1"/>
    <xf numFmtId="0" fontId="1" fillId="4" borderId="39" xfId="0" applyFont="1" applyFill="1" applyBorder="1" applyProtection="1"/>
    <xf numFmtId="10" fontId="0" fillId="16" borderId="12" xfId="1" applyNumberFormat="1" applyFont="1" applyFill="1" applyBorder="1" applyAlignment="1" applyProtection="1">
      <alignment horizontal="center"/>
    </xf>
    <xf numFmtId="0" fontId="0" fillId="16" borderId="4" xfId="1" applyNumberFormat="1" applyFont="1" applyFill="1" applyBorder="1" applyAlignment="1" applyProtection="1">
      <alignment horizontal="center"/>
    </xf>
    <xf numFmtId="10" fontId="0" fillId="16" borderId="4" xfId="1" applyNumberFormat="1" applyFont="1" applyFill="1" applyBorder="1" applyAlignment="1" applyProtection="1">
      <alignment horizontal="center"/>
    </xf>
    <xf numFmtId="0" fontId="9" fillId="10" borderId="39" xfId="0" applyFont="1" applyFill="1" applyBorder="1" applyProtection="1"/>
    <xf numFmtId="10" fontId="4" fillId="21" borderId="12" xfId="1" applyNumberFormat="1" applyFont="1" applyFill="1" applyBorder="1" applyAlignment="1" applyProtection="1">
      <alignment horizontal="center"/>
    </xf>
    <xf numFmtId="0" fontId="4" fillId="21" borderId="4" xfId="1" applyNumberFormat="1" applyFont="1" applyFill="1" applyBorder="1" applyAlignment="1" applyProtection="1">
      <alignment horizontal="center"/>
    </xf>
    <xf numFmtId="10" fontId="4" fillId="21" borderId="4" xfId="1" applyNumberFormat="1" applyFont="1" applyFill="1" applyBorder="1" applyAlignment="1" applyProtection="1">
      <alignment horizontal="center"/>
    </xf>
    <xf numFmtId="0" fontId="1" fillId="9" borderId="39" xfId="0" applyFont="1" applyFill="1" applyBorder="1" applyProtection="1"/>
    <xf numFmtId="10" fontId="0" fillId="18" borderId="12" xfId="1" applyNumberFormat="1" applyFont="1" applyFill="1" applyBorder="1" applyAlignment="1" applyProtection="1">
      <alignment horizontal="center"/>
    </xf>
    <xf numFmtId="0" fontId="0" fillId="18" borderId="4" xfId="1" applyNumberFormat="1" applyFont="1" applyFill="1" applyBorder="1" applyAlignment="1" applyProtection="1">
      <alignment horizontal="center"/>
    </xf>
    <xf numFmtId="10" fontId="0" fillId="18" borderId="4" xfId="1" applyNumberFormat="1" applyFont="1" applyFill="1" applyBorder="1" applyAlignment="1" applyProtection="1">
      <alignment horizontal="center"/>
    </xf>
    <xf numFmtId="0" fontId="0" fillId="5" borderId="1" xfId="0" applyFill="1" applyBorder="1" applyProtection="1"/>
    <xf numFmtId="0" fontId="1" fillId="20" borderId="2" xfId="0" applyFont="1" applyFill="1" applyBorder="1" applyAlignment="1" applyProtection="1">
      <alignment horizontal="center" vertical="center"/>
    </xf>
    <xf numFmtId="0" fontId="1" fillId="12" borderId="40" xfId="0" applyFont="1" applyFill="1" applyBorder="1" applyProtection="1"/>
    <xf numFmtId="10" fontId="0" fillId="25" borderId="30" xfId="1" applyNumberFormat="1" applyFont="1" applyFill="1" applyBorder="1" applyAlignment="1" applyProtection="1">
      <alignment horizontal="center"/>
    </xf>
    <xf numFmtId="0" fontId="0" fillId="25" borderId="35" xfId="1" applyNumberFormat="1" applyFont="1" applyFill="1" applyBorder="1" applyAlignment="1" applyProtection="1">
      <alignment horizontal="center"/>
    </xf>
    <xf numFmtId="10" fontId="0" fillId="25" borderId="35" xfId="1" applyNumberFormat="1" applyFont="1" applyFill="1" applyBorder="1" applyAlignment="1" applyProtection="1">
      <alignment horizontal="center"/>
    </xf>
    <xf numFmtId="0" fontId="11" fillId="22" borderId="9" xfId="0" applyFont="1" applyFill="1" applyBorder="1" applyAlignment="1" applyProtection="1">
      <alignment horizontal="center" vertical="center"/>
    </xf>
    <xf numFmtId="0" fontId="0" fillId="22" borderId="11" xfId="0" applyFont="1" applyFill="1" applyBorder="1" applyAlignment="1" applyProtection="1">
      <alignment horizontal="center" vertical="center"/>
    </xf>
    <xf numFmtId="0" fontId="11" fillId="23" borderId="12" xfId="0" applyFont="1" applyFill="1" applyBorder="1" applyAlignment="1" applyProtection="1">
      <alignment horizontal="center" vertical="center"/>
    </xf>
    <xf numFmtId="0" fontId="0" fillId="23" borderId="5" xfId="0" applyFont="1" applyFill="1" applyBorder="1" applyAlignment="1" applyProtection="1">
      <alignment horizontal="center" vertical="center"/>
    </xf>
    <xf numFmtId="0" fontId="11" fillId="24" borderId="12" xfId="0" applyFont="1" applyFill="1" applyBorder="1" applyAlignment="1" applyProtection="1">
      <alignment horizontal="center" vertical="center"/>
    </xf>
    <xf numFmtId="0" fontId="0" fillId="24" borderId="5" xfId="0" applyFont="1" applyFill="1" applyBorder="1" applyAlignment="1" applyProtection="1">
      <alignment horizontal="center" vertical="center"/>
    </xf>
    <xf numFmtId="0" fontId="11" fillId="16" borderId="12" xfId="0" applyFont="1" applyFill="1" applyBorder="1" applyAlignment="1" applyProtection="1">
      <alignment horizontal="center" vertical="center"/>
    </xf>
    <xf numFmtId="0" fontId="0" fillId="16" borderId="5" xfId="0" applyFont="1" applyFill="1" applyBorder="1" applyAlignment="1" applyProtection="1">
      <alignment horizontal="center" vertical="center"/>
    </xf>
    <xf numFmtId="0" fontId="12" fillId="21" borderId="12" xfId="0" applyFont="1" applyFill="1" applyBorder="1" applyAlignment="1" applyProtection="1">
      <alignment horizontal="center" vertical="center"/>
    </xf>
    <xf numFmtId="0" fontId="4" fillId="21" borderId="5" xfId="0" applyFont="1" applyFill="1" applyBorder="1" applyAlignment="1" applyProtection="1">
      <alignment horizontal="center" vertical="center"/>
    </xf>
    <xf numFmtId="0" fontId="11" fillId="18" borderId="12" xfId="0" applyFont="1" applyFill="1" applyBorder="1" applyAlignment="1" applyProtection="1">
      <alignment horizontal="center" vertical="center"/>
    </xf>
    <xf numFmtId="0" fontId="0" fillId="18" borderId="5" xfId="0" applyFont="1" applyFill="1" applyBorder="1" applyAlignment="1" applyProtection="1">
      <alignment horizontal="center" vertical="center"/>
    </xf>
    <xf numFmtId="0" fontId="11" fillId="25" borderId="30" xfId="0" applyFont="1" applyFill="1" applyBorder="1" applyAlignment="1" applyProtection="1">
      <alignment horizontal="center" vertical="center"/>
    </xf>
    <xf numFmtId="0" fontId="0" fillId="25" borderId="31" xfId="0" applyFont="1" applyFill="1" applyBorder="1" applyAlignment="1" applyProtection="1">
      <alignment horizontal="center" vertical="center"/>
    </xf>
    <xf numFmtId="0" fontId="0" fillId="0" borderId="0" xfId="0" applyAlignment="1" applyProtection="1"/>
    <xf numFmtId="0" fontId="0" fillId="13" borderId="11" xfId="0" applyFill="1" applyBorder="1" applyAlignment="1" applyProtection="1">
      <alignment horizontal="center" vertical="center"/>
    </xf>
    <xf numFmtId="10" fontId="0" fillId="0" borderId="0" xfId="1" applyNumberFormat="1" applyFont="1" applyAlignment="1" applyProtection="1"/>
    <xf numFmtId="0" fontId="0" fillId="14" borderId="12"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2"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2"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2"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2"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0" xfId="0" applyFill="1" applyBorder="1" applyAlignment="1" applyProtection="1">
      <alignment horizontal="center" vertical="center"/>
    </xf>
    <xf numFmtId="0" fontId="0" fillId="19" borderId="31" xfId="0" applyFill="1" applyBorder="1" applyAlignment="1" applyProtection="1">
      <alignment horizontal="center" vertical="center"/>
    </xf>
    <xf numFmtId="10" fontId="0" fillId="0" borderId="0" xfId="0" applyNumberFormat="1" applyAlignment="1" applyProtection="1"/>
    <xf numFmtId="0" fontId="0" fillId="22" borderId="11" xfId="1" applyNumberFormat="1" applyFont="1" applyFill="1" applyBorder="1" applyAlignment="1" applyProtection="1">
      <alignment horizontal="center"/>
      <protection locked="0"/>
    </xf>
    <xf numFmtId="0" fontId="0" fillId="23" borderId="5" xfId="1" applyNumberFormat="1" applyFont="1" applyFill="1" applyBorder="1" applyAlignment="1" applyProtection="1">
      <alignment horizontal="center"/>
      <protection locked="0"/>
    </xf>
    <xf numFmtId="0" fontId="0" fillId="24" borderId="5" xfId="1" applyNumberFormat="1" applyFont="1" applyFill="1" applyBorder="1" applyAlignment="1" applyProtection="1">
      <alignment horizontal="center"/>
      <protection locked="0"/>
    </xf>
    <xf numFmtId="0" fontId="0" fillId="16" borderId="5" xfId="1" applyNumberFormat="1" applyFont="1" applyFill="1" applyBorder="1" applyAlignment="1" applyProtection="1">
      <alignment horizontal="center"/>
      <protection locked="0"/>
    </xf>
    <xf numFmtId="0" fontId="4" fillId="21" borderId="5" xfId="1" applyNumberFormat="1" applyFont="1" applyFill="1" applyBorder="1" applyAlignment="1" applyProtection="1">
      <alignment horizontal="center"/>
      <protection locked="0"/>
    </xf>
    <xf numFmtId="0" fontId="0" fillId="18" borderId="5" xfId="1" applyNumberFormat="1" applyFont="1" applyFill="1" applyBorder="1" applyAlignment="1" applyProtection="1">
      <alignment horizontal="center"/>
      <protection locked="0"/>
    </xf>
    <xf numFmtId="0" fontId="0" fillId="25" borderId="31" xfId="1" applyNumberFormat="1" applyFont="1" applyFill="1" applyBorder="1" applyAlignment="1" applyProtection="1">
      <alignment horizontal="center"/>
      <protection locked="0"/>
    </xf>
    <xf numFmtId="0" fontId="0" fillId="29" borderId="0" xfId="0" applyFill="1" applyBorder="1"/>
    <xf numFmtId="0" fontId="1" fillId="29" borderId="53" xfId="0" applyFont="1" applyFill="1" applyBorder="1" applyAlignment="1">
      <alignment horizontal="center" vertical="center"/>
    </xf>
    <xf numFmtId="0" fontId="0" fillId="29" borderId="54" xfId="0" applyFill="1" applyBorder="1"/>
    <xf numFmtId="0" fontId="0" fillId="29" borderId="55" xfId="0" applyFill="1" applyBorder="1"/>
    <xf numFmtId="0" fontId="0" fillId="29" borderId="56" xfId="0" applyFill="1" applyBorder="1"/>
    <xf numFmtId="0" fontId="0" fillId="29" borderId="57" xfId="0" applyFill="1" applyBorder="1"/>
    <xf numFmtId="0" fontId="0" fillId="29" borderId="58" xfId="0" applyFill="1" applyBorder="1"/>
    <xf numFmtId="0" fontId="0" fillId="29" borderId="59" xfId="0" applyFill="1" applyBorder="1"/>
    <xf numFmtId="0" fontId="0" fillId="29" borderId="3" xfId="0" applyFill="1" applyBorder="1"/>
    <xf numFmtId="0" fontId="0" fillId="29" borderId="0" xfId="0" applyFill="1"/>
    <xf numFmtId="0" fontId="1" fillId="29" borderId="54" xfId="0" applyFont="1" applyFill="1" applyBorder="1" applyAlignment="1">
      <alignment horizontal="center" vertical="center"/>
    </xf>
    <xf numFmtId="15" fontId="15" fillId="30" borderId="0" xfId="0" applyNumberFormat="1" applyFont="1" applyFill="1" applyProtection="1"/>
    <xf numFmtId="0" fontId="15" fillId="30" borderId="0" xfId="0" applyFont="1" applyFill="1" applyProtection="1"/>
    <xf numFmtId="0" fontId="15" fillId="30" borderId="0" xfId="0" applyFont="1" applyFill="1" applyBorder="1" applyAlignment="1" applyProtection="1">
      <alignment horizontal="center" vertical="center"/>
    </xf>
    <xf numFmtId="0" fontId="16" fillId="30" borderId="0" xfId="0" applyFont="1" applyFill="1" applyBorder="1" applyProtection="1"/>
    <xf numFmtId="10" fontId="15" fillId="30" borderId="0" xfId="1" applyNumberFormat="1" applyFont="1" applyFill="1" applyProtection="1"/>
    <xf numFmtId="0" fontId="16" fillId="30" borderId="0" xfId="0" applyFont="1" applyFill="1" applyAlignment="1" applyProtection="1">
      <alignment horizontal="center" vertical="center"/>
    </xf>
    <xf numFmtId="0" fontId="15" fillId="30" borderId="0" xfId="0" applyFont="1" applyFill="1" applyAlignment="1" applyProtection="1">
      <alignment horizontal="center" vertical="center"/>
    </xf>
    <xf numFmtId="0" fontId="0" fillId="31" borderId="33" xfId="0" applyFill="1" applyBorder="1" applyAlignment="1" applyProtection="1">
      <alignment horizontal="center" vertical="center"/>
      <protection locked="0"/>
    </xf>
    <xf numFmtId="0" fontId="1" fillId="31" borderId="21" xfId="0" applyFont="1" applyFill="1" applyBorder="1" applyAlignment="1" applyProtection="1">
      <alignment horizontal="center" vertical="center"/>
    </xf>
    <xf numFmtId="0" fontId="1" fillId="31" borderId="6" xfId="0" applyFont="1" applyFill="1" applyBorder="1" applyAlignment="1" applyProtection="1">
      <alignment horizontal="center" vertical="center"/>
    </xf>
    <xf numFmtId="0" fontId="1" fillId="31" borderId="26" xfId="0" applyFont="1" applyFill="1" applyBorder="1" applyAlignment="1" applyProtection="1">
      <alignment horizontal="center" vertical="center"/>
    </xf>
    <xf numFmtId="0" fontId="1" fillId="31" borderId="19" xfId="0" applyFont="1" applyFill="1" applyBorder="1" applyAlignment="1" applyProtection="1">
      <alignment horizontal="center" vertical="center"/>
    </xf>
    <xf numFmtId="0" fontId="1" fillId="31" borderId="25" xfId="0" applyFont="1" applyFill="1" applyBorder="1" applyAlignment="1" applyProtection="1">
      <alignment horizontal="center" vertical="center"/>
    </xf>
    <xf numFmtId="0" fontId="1" fillId="31" borderId="27" xfId="0" applyFont="1" applyFill="1" applyBorder="1" applyAlignment="1" applyProtection="1">
      <alignment horizontal="center" vertical="center"/>
    </xf>
    <xf numFmtId="0" fontId="10" fillId="31" borderId="21" xfId="0" applyFont="1" applyFill="1" applyBorder="1" applyAlignment="1" applyProtection="1">
      <alignment horizontal="center" vertical="center"/>
    </xf>
    <xf numFmtId="0" fontId="1" fillId="31" borderId="36" xfId="0" applyFont="1" applyFill="1" applyBorder="1" applyAlignment="1" applyProtection="1">
      <alignment horizontal="center" vertical="center"/>
    </xf>
    <xf numFmtId="0" fontId="1" fillId="31" borderId="20" xfId="0" applyFont="1" applyFill="1" applyBorder="1" applyAlignment="1" applyProtection="1">
      <alignment horizontal="center" vertical="center"/>
    </xf>
    <xf numFmtId="0" fontId="0" fillId="31" borderId="37" xfId="0" applyFill="1" applyBorder="1" applyProtection="1"/>
    <xf numFmtId="0" fontId="0" fillId="31" borderId="5" xfId="0" applyFill="1" applyBorder="1" applyProtection="1"/>
    <xf numFmtId="0" fontId="0" fillId="31" borderId="15" xfId="0" applyFill="1" applyBorder="1" applyAlignment="1" applyProtection="1">
      <alignment horizontal="center" vertical="center"/>
    </xf>
    <xf numFmtId="0" fontId="2" fillId="30" borderId="0" xfId="0" applyFont="1" applyFill="1" applyProtection="1"/>
    <xf numFmtId="15" fontId="0" fillId="0" borderId="0" xfId="0" applyNumberFormat="1"/>
    <xf numFmtId="0" fontId="1" fillId="11" borderId="1" xfId="0" applyFont="1" applyFill="1" applyBorder="1" applyProtection="1"/>
    <xf numFmtId="0" fontId="0" fillId="3" borderId="64" xfId="0" applyFill="1" applyBorder="1" applyAlignment="1" applyProtection="1">
      <alignment horizontal="center" vertical="center"/>
    </xf>
    <xf numFmtId="0" fontId="0" fillId="3" borderId="65" xfId="0" applyFill="1" applyBorder="1" applyAlignment="1" applyProtection="1">
      <alignment horizontal="center" vertical="center"/>
    </xf>
    <xf numFmtId="0" fontId="0" fillId="0" borderId="16" xfId="0" applyBorder="1" applyProtection="1"/>
    <xf numFmtId="0" fontId="0" fillId="0" borderId="50" xfId="0" applyBorder="1" applyProtection="1"/>
    <xf numFmtId="0" fontId="1" fillId="0" borderId="8" xfId="0" applyFont="1" applyBorder="1" applyAlignment="1" applyProtection="1"/>
    <xf numFmtId="49" fontId="0" fillId="22" borderId="63" xfId="0" applyNumberFormat="1" applyFill="1" applyBorder="1" applyProtection="1">
      <protection locked="0"/>
    </xf>
    <xf numFmtId="0" fontId="1" fillId="27" borderId="2" xfId="0" applyFont="1" applyFill="1" applyBorder="1" applyAlignment="1" applyProtection="1">
      <alignment horizontal="center" vertical="center"/>
    </xf>
    <xf numFmtId="0" fontId="1" fillId="27" borderId="2" xfId="0" applyFont="1" applyFill="1" applyBorder="1" applyAlignment="1" applyProtection="1">
      <alignment horizontal="center" vertical="center" wrapText="1"/>
    </xf>
    <xf numFmtId="0" fontId="18" fillId="32" borderId="2" xfId="0" applyFont="1" applyFill="1" applyBorder="1" applyAlignment="1" applyProtection="1">
      <alignment horizontal="center" vertical="center"/>
    </xf>
    <xf numFmtId="49" fontId="0" fillId="22" borderId="32" xfId="0" applyNumberFormat="1" applyFill="1" applyBorder="1" applyAlignment="1" applyProtection="1">
      <protection locked="0"/>
    </xf>
    <xf numFmtId="49" fontId="0" fillId="22" borderId="62" xfId="0" applyNumberFormat="1" applyFill="1" applyBorder="1" applyAlignment="1" applyProtection="1">
      <protection locked="0"/>
    </xf>
    <xf numFmtId="49" fontId="0" fillId="22" borderId="33" xfId="0" applyNumberFormat="1" applyFill="1" applyBorder="1" applyAlignment="1" applyProtection="1">
      <protection locked="0"/>
    </xf>
    <xf numFmtId="0" fontId="1" fillId="34" borderId="2" xfId="0" applyFont="1" applyFill="1" applyBorder="1" applyAlignment="1">
      <alignment vertical="center"/>
    </xf>
    <xf numFmtId="0" fontId="0" fillId="30" borderId="0" xfId="0" applyFill="1" applyBorder="1" applyAlignment="1" applyProtection="1"/>
    <xf numFmtId="0" fontId="0" fillId="30" borderId="0" xfId="0" applyFill="1" applyProtection="1"/>
    <xf numFmtId="0" fontId="13" fillId="27" borderId="2" xfId="0" applyFont="1" applyFill="1" applyBorder="1" applyAlignment="1" applyProtection="1">
      <alignment horizontal="center" vertical="center" wrapText="1"/>
    </xf>
    <xf numFmtId="0" fontId="0" fillId="14" borderId="4" xfId="0" applyFill="1" applyBorder="1" applyAlignment="1" applyProtection="1">
      <alignment horizontal="center" vertical="center"/>
    </xf>
    <xf numFmtId="0" fontId="0" fillId="15" borderId="4" xfId="0" applyFill="1" applyBorder="1" applyAlignment="1" applyProtection="1">
      <alignment horizontal="center" vertical="center"/>
    </xf>
    <xf numFmtId="0" fontId="0" fillId="16" borderId="4" xfId="0" applyFill="1" applyBorder="1" applyAlignment="1" applyProtection="1">
      <alignment horizontal="center" vertical="center"/>
    </xf>
    <xf numFmtId="0" fontId="4" fillId="17" borderId="4" xfId="0" applyFont="1" applyFill="1" applyBorder="1" applyAlignment="1" applyProtection="1">
      <alignment horizontal="center" vertical="center"/>
    </xf>
    <xf numFmtId="0" fontId="0" fillId="18" borderId="4" xfId="0" applyFill="1" applyBorder="1" applyAlignment="1" applyProtection="1">
      <alignment horizontal="center" vertical="center"/>
    </xf>
    <xf numFmtId="0" fontId="0" fillId="13" borderId="10" xfId="0" applyFill="1" applyBorder="1" applyAlignment="1" applyProtection="1">
      <alignment horizontal="center" vertical="center"/>
    </xf>
    <xf numFmtId="0" fontId="0" fillId="19" borderId="35" xfId="0" applyFill="1" applyBorder="1" applyAlignment="1" applyProtection="1">
      <alignment horizontal="center" vertical="center"/>
    </xf>
    <xf numFmtId="0" fontId="0" fillId="26" borderId="42" xfId="2" applyFont="1" applyBorder="1" applyAlignment="1">
      <alignment horizontal="left" vertical="top" wrapText="1"/>
    </xf>
    <xf numFmtId="0" fontId="0" fillId="26" borderId="43" xfId="2" applyFont="1" applyBorder="1" applyAlignment="1">
      <alignment horizontal="left" vertical="top" wrapText="1"/>
    </xf>
    <xf numFmtId="0" fontId="0" fillId="26" borderId="44" xfId="2" applyFont="1" applyBorder="1" applyAlignment="1">
      <alignment horizontal="left" vertical="top" wrapText="1"/>
    </xf>
    <xf numFmtId="0" fontId="0" fillId="26" borderId="45" xfId="2" applyFont="1" applyBorder="1" applyAlignment="1">
      <alignment horizontal="left" vertical="top" wrapText="1"/>
    </xf>
    <xf numFmtId="0" fontId="0" fillId="26" borderId="41" xfId="2" applyFont="1" applyBorder="1" applyAlignment="1">
      <alignment horizontal="left" vertical="top" wrapText="1"/>
    </xf>
    <xf numFmtId="0" fontId="0" fillId="26" borderId="46" xfId="2" applyFont="1" applyBorder="1" applyAlignment="1">
      <alignment horizontal="left" vertical="top" wrapText="1"/>
    </xf>
    <xf numFmtId="0" fontId="0" fillId="26" borderId="47" xfId="2" applyFont="1" applyBorder="1" applyAlignment="1">
      <alignment horizontal="left" vertical="top" wrapText="1"/>
    </xf>
    <xf numFmtId="0" fontId="0" fillId="26" borderId="48" xfId="2" applyFont="1" applyBorder="1" applyAlignment="1">
      <alignment horizontal="left" vertical="top" wrapText="1"/>
    </xf>
    <xf numFmtId="0" fontId="0" fillId="26" borderId="49" xfId="2" applyFont="1" applyBorder="1" applyAlignment="1">
      <alignment horizontal="left" vertical="top" wrapText="1"/>
    </xf>
    <xf numFmtId="0" fontId="23" fillId="24" borderId="60" xfId="3" applyFont="1" applyFill="1" applyBorder="1" applyAlignment="1">
      <alignment horizontal="left" vertical="center"/>
    </xf>
    <xf numFmtId="0" fontId="23" fillId="24" borderId="68" xfId="3" applyFont="1" applyFill="1" applyBorder="1" applyAlignment="1">
      <alignment horizontal="left" vertical="center"/>
    </xf>
    <xf numFmtId="0" fontId="23" fillId="24" borderId="19" xfId="3" applyFont="1" applyFill="1" applyBorder="1" applyAlignment="1">
      <alignment horizontal="left" vertical="center"/>
    </xf>
    <xf numFmtId="0" fontId="23" fillId="24" borderId="40" xfId="3" applyFont="1" applyFill="1" applyBorder="1" applyAlignment="1">
      <alignment horizontal="left" vertical="center"/>
    </xf>
    <xf numFmtId="0" fontId="23" fillId="24" borderId="69" xfId="3" applyFont="1" applyFill="1" applyBorder="1" applyAlignment="1">
      <alignment horizontal="left" vertical="center"/>
    </xf>
    <xf numFmtId="0" fontId="23" fillId="24" borderId="61" xfId="3" applyFont="1" applyFill="1" applyBorder="1" applyAlignment="1">
      <alignment horizontal="left" vertical="center"/>
    </xf>
    <xf numFmtId="0" fontId="24" fillId="34" borderId="1" xfId="0" applyFont="1" applyFill="1" applyBorder="1" applyAlignment="1">
      <alignment horizontal="left" vertical="top" wrapText="1"/>
    </xf>
    <xf numFmtId="0" fontId="24" fillId="34" borderId="28" xfId="0" applyFont="1" applyFill="1" applyBorder="1" applyAlignment="1">
      <alignment horizontal="left" vertical="top" wrapText="1"/>
    </xf>
    <xf numFmtId="0" fontId="24" fillId="34" borderId="7" xfId="0" applyFont="1" applyFill="1" applyBorder="1" applyAlignment="1">
      <alignment horizontal="left" vertical="top" wrapText="1"/>
    </xf>
    <xf numFmtId="0" fontId="24" fillId="34" borderId="29" xfId="0" applyFont="1" applyFill="1" applyBorder="1" applyAlignment="1">
      <alignment horizontal="left" vertical="top" wrapText="1"/>
    </xf>
    <xf numFmtId="0" fontId="24" fillId="34" borderId="23" xfId="0" applyFont="1" applyFill="1" applyBorder="1" applyAlignment="1">
      <alignment horizontal="left" vertical="top" wrapText="1"/>
    </xf>
    <xf numFmtId="0" fontId="24" fillId="34" borderId="22" xfId="0" applyFont="1" applyFill="1" applyBorder="1" applyAlignment="1">
      <alignment horizontal="left" vertical="top" wrapText="1"/>
    </xf>
    <xf numFmtId="0" fontId="1" fillId="11" borderId="12" xfId="0" applyFont="1" applyFill="1" applyBorder="1" applyAlignment="1" applyProtection="1">
      <alignment horizontal="left" vertical="center"/>
    </xf>
    <xf numFmtId="0" fontId="1" fillId="11" borderId="4" xfId="0" applyFont="1" applyFill="1" applyBorder="1" applyAlignment="1" applyProtection="1">
      <alignment horizontal="left" vertical="center"/>
    </xf>
    <xf numFmtId="0" fontId="1" fillId="11" borderId="18" xfId="0" applyFont="1" applyFill="1" applyBorder="1" applyAlignment="1" applyProtection="1">
      <alignment horizontal="left" vertical="center"/>
    </xf>
    <xf numFmtId="0" fontId="1" fillId="11" borderId="34" xfId="0" applyFont="1" applyFill="1" applyBorder="1" applyAlignment="1" applyProtection="1">
      <alignment horizontal="left" vertical="center"/>
    </xf>
    <xf numFmtId="0" fontId="8" fillId="5" borderId="9" xfId="0" applyFont="1" applyFill="1" applyBorder="1" applyAlignment="1" applyProtection="1">
      <alignment horizontal="center"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8" fillId="5" borderId="30" xfId="0" applyFont="1" applyFill="1" applyBorder="1" applyAlignment="1" applyProtection="1">
      <alignment horizontal="center" vertical="center"/>
    </xf>
    <xf numFmtId="0" fontId="8" fillId="5" borderId="35" xfId="0" applyFont="1" applyFill="1" applyBorder="1" applyAlignment="1" applyProtection="1">
      <alignment horizontal="center" vertical="center"/>
    </xf>
    <xf numFmtId="0" fontId="8" fillId="5" borderId="31" xfId="0" applyFont="1" applyFill="1" applyBorder="1" applyAlignment="1" applyProtection="1">
      <alignment horizontal="center" vertical="center"/>
    </xf>
    <xf numFmtId="0" fontId="14" fillId="28" borderId="8" xfId="0" applyFont="1" applyFill="1" applyBorder="1" applyAlignment="1" applyProtection="1">
      <alignment horizontal="center"/>
    </xf>
    <xf numFmtId="0" fontId="14" fillId="28" borderId="51" xfId="0" applyFont="1" applyFill="1" applyBorder="1" applyAlignment="1" applyProtection="1">
      <alignment horizontal="center"/>
    </xf>
    <xf numFmtId="0" fontId="14" fillId="28" borderId="52" xfId="0" applyFont="1" applyFill="1" applyBorder="1" applyAlignment="1" applyProtection="1">
      <alignment horizontal="center"/>
    </xf>
    <xf numFmtId="15" fontId="0" fillId="31" borderId="40" xfId="0" applyNumberFormat="1" applyFill="1" applyBorder="1" applyAlignment="1" applyProtection="1">
      <alignment horizontal="center" vertical="center"/>
    </xf>
    <xf numFmtId="15" fontId="0" fillId="31" borderId="61" xfId="0" applyNumberFormat="1" applyFill="1" applyBorder="1" applyAlignment="1" applyProtection="1">
      <alignment horizontal="center" vertical="center"/>
    </xf>
    <xf numFmtId="0" fontId="5" fillId="11" borderId="60" xfId="0" applyFont="1" applyFill="1" applyBorder="1" applyAlignment="1" applyProtection="1">
      <alignment horizontal="center" vertical="center"/>
    </xf>
    <xf numFmtId="0" fontId="5" fillId="11" borderId="19" xfId="0" applyFont="1" applyFill="1" applyBorder="1" applyAlignment="1" applyProtection="1">
      <alignment horizontal="center" vertical="center"/>
    </xf>
    <xf numFmtId="0" fontId="1" fillId="27" borderId="16" xfId="0" applyFont="1" applyFill="1" applyBorder="1" applyAlignment="1" applyProtection="1">
      <alignment horizontal="center" vertical="center"/>
    </xf>
    <xf numFmtId="0" fontId="1" fillId="27" borderId="17" xfId="0" applyFont="1" applyFill="1" applyBorder="1" applyAlignment="1" applyProtection="1">
      <alignment horizontal="center" vertical="center"/>
    </xf>
    <xf numFmtId="0" fontId="1" fillId="27" borderId="50" xfId="0" applyFont="1" applyFill="1" applyBorder="1" applyAlignment="1" applyProtection="1">
      <alignment horizontal="center" vertical="center"/>
    </xf>
    <xf numFmtId="22" fontId="0" fillId="0" borderId="16" xfId="0" applyNumberFormat="1" applyBorder="1" applyAlignment="1" applyProtection="1">
      <alignment horizontal="center"/>
    </xf>
    <xf numFmtId="22" fontId="0" fillId="0" borderId="50" xfId="0" applyNumberFormat="1" applyBorder="1" applyAlignment="1" applyProtection="1">
      <alignment horizontal="center"/>
    </xf>
    <xf numFmtId="0" fontId="1" fillId="11" borderId="13" xfId="0" applyFont="1" applyFill="1" applyBorder="1" applyAlignment="1" applyProtection="1">
      <alignment horizontal="left" vertical="center"/>
    </xf>
    <xf numFmtId="0" fontId="1" fillId="11" borderId="14" xfId="0" applyFont="1" applyFill="1" applyBorder="1" applyAlignment="1" applyProtection="1">
      <alignment horizontal="left" vertical="center"/>
    </xf>
    <xf numFmtId="0" fontId="1" fillId="11" borderId="1" xfId="0" applyFont="1" applyFill="1" applyBorder="1" applyAlignment="1" applyProtection="1">
      <alignment horizontal="center" vertical="center"/>
    </xf>
    <xf numFmtId="0" fontId="1" fillId="11" borderId="7" xfId="0" applyFont="1" applyFill="1" applyBorder="1" applyAlignment="1" applyProtection="1">
      <alignment horizontal="center" vertical="center"/>
    </xf>
    <xf numFmtId="0" fontId="5" fillId="11" borderId="9" xfId="0" applyFont="1" applyFill="1" applyBorder="1" applyAlignment="1" applyProtection="1">
      <alignment horizontal="center" vertical="center"/>
    </xf>
    <xf numFmtId="0" fontId="5" fillId="11" borderId="11" xfId="0" applyFont="1" applyFill="1" applyBorder="1" applyAlignment="1" applyProtection="1">
      <alignment horizontal="center" vertical="center"/>
    </xf>
    <xf numFmtId="0" fontId="0" fillId="31" borderId="30" xfId="0" applyFill="1" applyBorder="1" applyAlignment="1" applyProtection="1">
      <alignment horizontal="center" vertical="center"/>
      <protection locked="0"/>
    </xf>
    <xf numFmtId="0" fontId="0" fillId="31" borderId="31" xfId="0" applyFill="1" applyBorder="1" applyAlignment="1" applyProtection="1">
      <alignment horizontal="center" vertical="center"/>
      <protection locked="0"/>
    </xf>
    <xf numFmtId="0" fontId="8" fillId="5" borderId="1" xfId="0" applyFont="1" applyFill="1" applyBorder="1" applyAlignment="1" applyProtection="1">
      <alignment horizontal="center"/>
    </xf>
    <xf numFmtId="0" fontId="8" fillId="5" borderId="28" xfId="0" applyFont="1" applyFill="1" applyBorder="1" applyAlignment="1" applyProtection="1">
      <alignment horizontal="center"/>
    </xf>
    <xf numFmtId="0" fontId="8" fillId="5" borderId="7" xfId="0" applyFont="1" applyFill="1" applyBorder="1" applyAlignment="1" applyProtection="1">
      <alignment horizontal="center"/>
    </xf>
    <xf numFmtId="0" fontId="8" fillId="5" borderId="29" xfId="0" applyFont="1" applyFill="1" applyBorder="1" applyAlignment="1" applyProtection="1">
      <alignment horizontal="center"/>
    </xf>
    <xf numFmtId="0" fontId="8" fillId="5" borderId="23" xfId="0" applyFont="1" applyFill="1" applyBorder="1" applyAlignment="1" applyProtection="1">
      <alignment horizontal="center"/>
    </xf>
    <xf numFmtId="0" fontId="8" fillId="5" borderId="22" xfId="0" applyFont="1" applyFill="1" applyBorder="1" applyAlignment="1" applyProtection="1">
      <alignment horizontal="center"/>
    </xf>
    <xf numFmtId="0" fontId="7" fillId="5" borderId="1" xfId="0" applyFont="1" applyFill="1" applyBorder="1" applyAlignment="1" applyProtection="1">
      <alignment horizontal="center" vertical="center"/>
    </xf>
    <xf numFmtId="0" fontId="7" fillId="5" borderId="28" xfId="0" applyFont="1" applyFill="1" applyBorder="1" applyAlignment="1" applyProtection="1">
      <alignment horizontal="center" vertical="center"/>
    </xf>
    <xf numFmtId="0" fontId="7" fillId="5" borderId="7" xfId="0" applyFont="1" applyFill="1" applyBorder="1" applyAlignment="1" applyProtection="1">
      <alignment horizontal="center" vertical="center"/>
    </xf>
    <xf numFmtId="0" fontId="7" fillId="5" borderId="29" xfId="0" applyFont="1" applyFill="1" applyBorder="1" applyAlignment="1" applyProtection="1">
      <alignment horizontal="center" vertical="center"/>
    </xf>
    <xf numFmtId="0" fontId="7" fillId="5" borderId="23" xfId="0" applyFont="1" applyFill="1" applyBorder="1" applyAlignment="1" applyProtection="1">
      <alignment horizontal="center" vertical="center"/>
    </xf>
    <xf numFmtId="0" fontId="7" fillId="5" borderId="0" xfId="0" applyFont="1" applyFill="1" applyBorder="1" applyAlignment="1" applyProtection="1">
      <alignment horizontal="center" vertical="center"/>
    </xf>
    <xf numFmtId="0" fontId="7" fillId="5" borderId="22" xfId="0" applyFont="1" applyFill="1" applyBorder="1" applyAlignment="1" applyProtection="1">
      <alignment horizontal="center" vertical="center"/>
    </xf>
    <xf numFmtId="0" fontId="1" fillId="11" borderId="28" xfId="0" applyFont="1" applyFill="1" applyBorder="1" applyAlignment="1" applyProtection="1">
      <alignment horizontal="center" vertical="center"/>
    </xf>
    <xf numFmtId="0" fontId="0" fillId="26" borderId="42" xfId="2" applyFont="1" applyBorder="1" applyAlignment="1" applyProtection="1">
      <alignment horizontal="left" vertical="top" wrapText="1"/>
    </xf>
    <xf numFmtId="0" fontId="0" fillId="26" borderId="43" xfId="2" applyFont="1" applyBorder="1" applyAlignment="1" applyProtection="1">
      <alignment horizontal="left" vertical="top"/>
    </xf>
    <xf numFmtId="0" fontId="0" fillId="26" borderId="44" xfId="2" applyFont="1" applyBorder="1" applyAlignment="1" applyProtection="1">
      <alignment horizontal="left" vertical="top"/>
    </xf>
    <xf numFmtId="0" fontId="0" fillId="26" borderId="45" xfId="2" applyFont="1" applyBorder="1" applyAlignment="1" applyProtection="1">
      <alignment horizontal="left" vertical="top"/>
    </xf>
    <xf numFmtId="0" fontId="0" fillId="26" borderId="41" xfId="2" applyFont="1" applyBorder="1" applyAlignment="1" applyProtection="1">
      <alignment horizontal="left" vertical="top"/>
    </xf>
    <xf numFmtId="0" fontId="0" fillId="26" borderId="46" xfId="2" applyFont="1" applyBorder="1" applyAlignment="1" applyProtection="1">
      <alignment horizontal="left" vertical="top"/>
    </xf>
    <xf numFmtId="0" fontId="0" fillId="26" borderId="47" xfId="2" applyFont="1" applyBorder="1" applyAlignment="1" applyProtection="1">
      <alignment horizontal="left" vertical="top"/>
    </xf>
    <xf numFmtId="0" fontId="0" fillId="26" borderId="48" xfId="2" applyFont="1" applyBorder="1" applyAlignment="1" applyProtection="1">
      <alignment horizontal="left" vertical="top"/>
    </xf>
    <xf numFmtId="0" fontId="0" fillId="26" borderId="49" xfId="2" applyFont="1" applyBorder="1" applyAlignment="1" applyProtection="1">
      <alignment horizontal="left" vertical="top"/>
    </xf>
    <xf numFmtId="0" fontId="13" fillId="11" borderId="10" xfId="0" applyFont="1" applyFill="1" applyBorder="1" applyAlignment="1" applyProtection="1">
      <alignment horizontal="center" vertical="center" wrapText="1"/>
    </xf>
    <xf numFmtId="0" fontId="13" fillId="11" borderId="14" xfId="0" applyFont="1" applyFill="1" applyBorder="1" applyAlignment="1" applyProtection="1">
      <alignment horizontal="center" vertical="center" wrapText="1"/>
    </xf>
    <xf numFmtId="0" fontId="13" fillId="11" borderId="9" xfId="0" applyFont="1" applyFill="1" applyBorder="1" applyAlignment="1" applyProtection="1">
      <alignment horizontal="center" vertical="center" wrapText="1"/>
    </xf>
    <xf numFmtId="0" fontId="13" fillId="11" borderId="30" xfId="0" applyFont="1" applyFill="1" applyBorder="1" applyAlignment="1" applyProtection="1">
      <alignment horizontal="center" vertical="center" wrapText="1"/>
    </xf>
    <xf numFmtId="0" fontId="1" fillId="11" borderId="11" xfId="0" applyFont="1" applyFill="1" applyBorder="1" applyAlignment="1" applyProtection="1">
      <alignment horizontal="center" wrapText="1"/>
    </xf>
    <xf numFmtId="0" fontId="1" fillId="11" borderId="15" xfId="0" applyFont="1" applyFill="1" applyBorder="1" applyAlignment="1" applyProtection="1">
      <alignment horizontal="center" wrapText="1"/>
    </xf>
    <xf numFmtId="0" fontId="13" fillId="11" borderId="10" xfId="0" applyFont="1" applyFill="1" applyBorder="1" applyAlignment="1" applyProtection="1">
      <alignment horizontal="center" wrapText="1" shrinkToFit="1"/>
    </xf>
    <xf numFmtId="0" fontId="13" fillId="11" borderId="14" xfId="0" applyFont="1" applyFill="1" applyBorder="1" applyAlignment="1" applyProtection="1">
      <alignment horizontal="center" wrapText="1" shrinkToFit="1"/>
    </xf>
    <xf numFmtId="0" fontId="14" fillId="3" borderId="16" xfId="0" applyFont="1" applyFill="1" applyBorder="1" applyAlignment="1" applyProtection="1">
      <alignment horizontal="center" vertical="center"/>
    </xf>
    <xf numFmtId="0" fontId="14" fillId="3" borderId="17" xfId="0" applyFont="1" applyFill="1" applyBorder="1" applyAlignment="1" applyProtection="1">
      <alignment horizontal="center" vertical="center"/>
    </xf>
    <xf numFmtId="0" fontId="14" fillId="3" borderId="50" xfId="0" applyFont="1" applyFill="1" applyBorder="1" applyAlignment="1" applyProtection="1">
      <alignment horizontal="center" vertical="center"/>
    </xf>
    <xf numFmtId="0" fontId="14" fillId="7" borderId="18" xfId="0" applyFont="1" applyFill="1" applyBorder="1" applyAlignment="1" applyProtection="1">
      <alignment horizontal="left" vertical="center" wrapText="1"/>
    </xf>
    <xf numFmtId="0" fontId="14" fillId="7" borderId="34" xfId="0" applyFont="1" applyFill="1" applyBorder="1" applyAlignment="1" applyProtection="1">
      <alignment horizontal="left" vertical="center" wrapText="1"/>
    </xf>
    <xf numFmtId="0" fontId="14" fillId="7" borderId="37" xfId="0" applyFont="1" applyFill="1" applyBorder="1" applyAlignment="1" applyProtection="1">
      <alignment horizontal="left" vertical="center" wrapText="1"/>
    </xf>
    <xf numFmtId="0" fontId="14" fillId="7" borderId="12" xfId="0" applyFont="1" applyFill="1" applyBorder="1" applyAlignment="1" applyProtection="1">
      <alignment horizontal="left" vertical="center" wrapText="1"/>
    </xf>
    <xf numFmtId="0" fontId="14" fillId="7" borderId="4" xfId="0" applyFont="1" applyFill="1" applyBorder="1" applyAlignment="1" applyProtection="1">
      <alignment horizontal="left" vertical="center" wrapText="1"/>
    </xf>
    <xf numFmtId="0" fontId="14" fillId="7" borderId="5" xfId="0" applyFont="1" applyFill="1" applyBorder="1" applyAlignment="1" applyProtection="1">
      <alignment horizontal="left" vertical="center" wrapText="1"/>
    </xf>
    <xf numFmtId="0" fontId="14" fillId="7" borderId="30" xfId="0" applyFont="1" applyFill="1" applyBorder="1" applyAlignment="1" applyProtection="1">
      <alignment horizontal="left" vertical="center" wrapText="1"/>
    </xf>
    <xf numFmtId="0" fontId="14" fillId="7" borderId="35" xfId="0" applyFont="1" applyFill="1" applyBorder="1" applyAlignment="1" applyProtection="1">
      <alignment horizontal="left" vertical="center" wrapText="1"/>
    </xf>
    <xf numFmtId="0" fontId="14" fillId="7" borderId="31" xfId="0" applyFont="1" applyFill="1" applyBorder="1" applyAlignment="1" applyProtection="1">
      <alignment horizontal="left" vertical="center" wrapText="1"/>
    </xf>
    <xf numFmtId="0" fontId="21" fillId="33" borderId="1" xfId="0" applyFont="1" applyFill="1" applyBorder="1" applyAlignment="1" applyProtection="1">
      <alignment horizontal="center" vertical="center"/>
    </xf>
    <xf numFmtId="0" fontId="21" fillId="33" borderId="28" xfId="0" applyFont="1" applyFill="1" applyBorder="1" applyAlignment="1" applyProtection="1">
      <alignment horizontal="center" vertical="center"/>
    </xf>
    <xf numFmtId="0" fontId="21" fillId="33" borderId="7" xfId="0" applyFont="1" applyFill="1" applyBorder="1" applyAlignment="1" applyProtection="1">
      <alignment horizontal="center" vertical="center"/>
    </xf>
    <xf numFmtId="49" fontId="0" fillId="33" borderId="66" xfId="0" applyNumberFormat="1" applyFill="1" applyBorder="1" applyAlignment="1" applyProtection="1">
      <alignment horizontal="left" vertical="top" wrapText="1"/>
      <protection locked="0"/>
    </xf>
    <xf numFmtId="49" fontId="0" fillId="33" borderId="0" xfId="0" applyNumberFormat="1" applyFill="1" applyBorder="1" applyAlignment="1" applyProtection="1">
      <alignment horizontal="left" vertical="top" wrapText="1"/>
      <protection locked="0"/>
    </xf>
    <xf numFmtId="49" fontId="0" fillId="33" borderId="67" xfId="0" applyNumberFormat="1" applyFill="1" applyBorder="1" applyAlignment="1" applyProtection="1">
      <alignment horizontal="left" vertical="top" wrapText="1"/>
      <protection locked="0"/>
    </xf>
    <xf numFmtId="49" fontId="0" fillId="33" borderId="29" xfId="0" applyNumberFormat="1" applyFill="1" applyBorder="1" applyAlignment="1" applyProtection="1">
      <alignment horizontal="left" vertical="top" wrapText="1"/>
      <protection locked="0"/>
    </xf>
    <xf numFmtId="49" fontId="0" fillId="33" borderId="23" xfId="0" applyNumberFormat="1" applyFill="1" applyBorder="1" applyAlignment="1" applyProtection="1">
      <alignment horizontal="left" vertical="top" wrapText="1"/>
      <protection locked="0"/>
    </xf>
    <xf numFmtId="49" fontId="0" fillId="33" borderId="22" xfId="0" applyNumberFormat="1" applyFill="1" applyBorder="1" applyAlignment="1" applyProtection="1">
      <alignment horizontal="left" vertical="top" wrapText="1"/>
      <protection locked="0"/>
    </xf>
    <xf numFmtId="49" fontId="0" fillId="22" borderId="30" xfId="0" applyNumberFormat="1" applyFill="1" applyBorder="1" applyAlignment="1" applyProtection="1">
      <alignment horizontal="left" vertical="center"/>
      <protection locked="0"/>
    </xf>
    <xf numFmtId="49" fontId="0" fillId="22" borderId="31" xfId="0" applyNumberFormat="1" applyFill="1" applyBorder="1" applyAlignment="1" applyProtection="1">
      <alignment horizontal="left" vertical="center"/>
      <protection locked="0"/>
    </xf>
    <xf numFmtId="49" fontId="0" fillId="22" borderId="12" xfId="0" applyNumberFormat="1" applyFill="1" applyBorder="1" applyAlignment="1" applyProtection="1">
      <alignment horizontal="left" vertical="center"/>
      <protection locked="0"/>
    </xf>
    <xf numFmtId="49" fontId="0" fillId="22" borderId="5" xfId="0" applyNumberFormat="1" applyFill="1" applyBorder="1" applyAlignment="1" applyProtection="1">
      <alignment horizontal="left" vertical="center"/>
      <protection locked="0"/>
    </xf>
    <xf numFmtId="49" fontId="0" fillId="22" borderId="9" xfId="0" applyNumberFormat="1" applyFill="1" applyBorder="1" applyAlignment="1" applyProtection="1">
      <alignment horizontal="left" vertical="center"/>
      <protection locked="0"/>
    </xf>
    <xf numFmtId="49" fontId="0" fillId="22" borderId="11" xfId="0" applyNumberFormat="1" applyFill="1" applyBorder="1" applyAlignment="1" applyProtection="1">
      <alignment horizontal="left" vertical="center"/>
      <protection locked="0"/>
    </xf>
  </cellXfs>
  <cellStyles count="4">
    <cellStyle name="Hyperlink" xfId="3" builtinId="8"/>
    <cellStyle name="Normal" xfId="0" builtinId="0"/>
    <cellStyle name="Note" xfId="2" builtinId="10"/>
    <cellStyle name="Percent" xfId="1" builtinId="5"/>
  </cellStyles>
  <dxfs count="19">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C000"/>
        </patternFill>
      </fill>
    </dxf>
    <dxf>
      <fill>
        <patternFill>
          <bgColor rgb="FFFFC000"/>
        </patternFill>
      </fill>
    </dxf>
    <dxf>
      <fill>
        <patternFill>
          <bgColor rgb="FFFFC000"/>
        </patternFill>
      </fill>
    </dxf>
    <dxf>
      <font>
        <color rgb="FFFF0000"/>
      </font>
    </dxf>
    <dxf>
      <font>
        <color rgb="FF0000FF"/>
      </font>
    </dxf>
    <dxf>
      <font>
        <color rgb="FF00B050"/>
      </font>
    </dxf>
    <dxf>
      <font>
        <color auto="1"/>
      </font>
    </dxf>
    <dxf>
      <font>
        <color rgb="FFFF0000"/>
      </font>
    </dxf>
    <dxf>
      <font>
        <color rgb="FF0000FF"/>
      </font>
    </dxf>
    <dxf>
      <font>
        <color rgb="FFFF0000"/>
      </font>
    </dxf>
    <dxf>
      <font>
        <color rgb="FF0000FF"/>
      </font>
    </dxf>
    <dxf>
      <font>
        <color rgb="FFFF0000"/>
      </font>
    </dxf>
    <dxf>
      <font>
        <color rgb="FF0000FF"/>
      </font>
    </dxf>
  </dxfs>
  <tableStyles count="0" defaultTableStyle="TableStyleMedium2" defaultPivotStyle="PivotStyleLight16"/>
  <colors>
    <mruColors>
      <color rgb="FFD9D9D9"/>
      <color rgb="FF0000FF"/>
      <color rgb="FF33CC33"/>
      <color rgb="FFFF5A5A"/>
      <color rgb="FFA86ED4"/>
      <color rgb="FFACB9CA"/>
      <color rgb="FF595959"/>
      <color rgb="FFC6E0B4"/>
      <color rgb="FFFFE699"/>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a16="http://schemas.microsoft.com/office/drawing/2014/main" xmlns=""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a16="http://schemas.microsoft.com/office/drawing/2014/main" xmlns=""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76200</xdr:rowOff>
        </xdr:from>
        <xdr:to>
          <xdr:col>19</xdr:col>
          <xdr:colOff>390525</xdr:colOff>
          <xdr:row>2</xdr:row>
          <xdr:rowOff>104775</xdr:rowOff>
        </xdr:to>
        <xdr:sp macro="" textlink="">
          <xdr:nvSpPr>
            <xdr:cNvPr id="6148" name="Button_PrepForDuty" descr="Filter AB Roster for Duty" hidden="1">
              <a:extLst>
                <a:ext uri="{63B3BB69-23CF-44E3-9099-C40C66FF867C}">
                  <a14:compatExt spid="_x0000_s6148"/>
                </a:ext>
                <a:ext uri="{FF2B5EF4-FFF2-40B4-BE49-F238E27FC236}">
                  <a16:creationId xmlns:a16="http://schemas.microsoft.com/office/drawing/2014/main" xmlns=""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Apply Duty Availability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0</xdr:row>
          <xdr:rowOff>76200</xdr:rowOff>
        </xdr:from>
        <xdr:to>
          <xdr:col>11</xdr:col>
          <xdr:colOff>400050</xdr:colOff>
          <xdr:row>2</xdr:row>
          <xdr:rowOff>104775</xdr:rowOff>
        </xdr:to>
        <xdr:sp macro="" textlink="">
          <xdr:nvSpPr>
            <xdr:cNvPr id="6149" name="Button_CustomFilter" hidden="1">
              <a:extLst>
                <a:ext uri="{63B3BB69-23CF-44E3-9099-C40C66FF867C}">
                  <a14:compatExt spid="_x0000_s6149"/>
                </a:ext>
                <a:ext uri="{FF2B5EF4-FFF2-40B4-BE49-F238E27FC236}">
                  <a16:creationId xmlns:a16="http://schemas.microsoft.com/office/drawing/2014/main" xmlns=""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Medical Exemption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0</xdr:row>
          <xdr:rowOff>76200</xdr:rowOff>
        </xdr:from>
        <xdr:to>
          <xdr:col>17</xdr:col>
          <xdr:colOff>47625</xdr:colOff>
          <xdr:row>2</xdr:row>
          <xdr:rowOff>104775</xdr:rowOff>
        </xdr:to>
        <xdr:sp macro="" textlink="">
          <xdr:nvSpPr>
            <xdr:cNvPr id="6177" name="Button 33" hidden="1">
              <a:extLst>
                <a:ext uri="{63B3BB69-23CF-44E3-9099-C40C66FF867C}">
                  <a14:compatExt spid="_x0000_s6177"/>
                </a:ext>
                <a:ext uri="{FF2B5EF4-FFF2-40B4-BE49-F238E27FC236}">
                  <a16:creationId xmlns:a16="http://schemas.microsoft.com/office/drawing/2014/main" xmlns="" id="{00000000-0008-0000-0100-00002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Morning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152400</xdr:colOff>
          <xdr:row>0</xdr:row>
          <xdr:rowOff>76200</xdr:rowOff>
        </xdr:from>
        <xdr:to>
          <xdr:col>22</xdr:col>
          <xdr:colOff>190500</xdr:colOff>
          <xdr:row>2</xdr:row>
          <xdr:rowOff>104775</xdr:rowOff>
        </xdr:to>
        <xdr:sp macro="" textlink="">
          <xdr:nvSpPr>
            <xdr:cNvPr id="6181" name="Button 37" hidden="1">
              <a:extLst>
                <a:ext uri="{63B3BB69-23CF-44E3-9099-C40C66FF867C}">
                  <a14:compatExt spid="_x0000_s6181"/>
                </a:ext>
                <a:ext uri="{FF2B5EF4-FFF2-40B4-BE49-F238E27FC236}">
                  <a16:creationId xmlns:a16="http://schemas.microsoft.com/office/drawing/2014/main" xmlns=""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Clear Available Body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31</xdr:col>
          <xdr:colOff>133350</xdr:colOff>
          <xdr:row>20</xdr:row>
          <xdr:rowOff>95250</xdr:rowOff>
        </xdr:to>
        <xdr:sp macro="" textlink="">
          <xdr:nvSpPr>
            <xdr:cNvPr id="6183" name="Button 39" hidden="1">
              <a:extLst>
                <a:ext uri="{63B3BB69-23CF-44E3-9099-C40C66FF867C}">
                  <a14:compatExt spid="_x0000_s6183"/>
                </a:ext>
                <a:ext uri="{FF2B5EF4-FFF2-40B4-BE49-F238E27FC236}">
                  <a16:creationId xmlns:a16="http://schemas.microsoft.com/office/drawing/2014/main" xmlns="" id="{00000000-0008-0000-0100-00002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 Rec. Duty Allocations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381000</xdr:colOff>
          <xdr:row>18</xdr:row>
          <xdr:rowOff>66675</xdr:rowOff>
        </xdr:from>
        <xdr:to>
          <xdr:col>33</xdr:col>
          <xdr:colOff>447675</xdr:colOff>
          <xdr:row>20</xdr:row>
          <xdr:rowOff>95250</xdr:rowOff>
        </xdr:to>
        <xdr:sp macro="" textlink="">
          <xdr:nvSpPr>
            <xdr:cNvPr id="6184" name="Button 40" hidden="1">
              <a:extLst>
                <a:ext uri="{63B3BB69-23CF-44E3-9099-C40C66FF867C}">
                  <a14:compatExt spid="_x0000_s6184"/>
                </a:ext>
                <a:ext uri="{FF2B5EF4-FFF2-40B4-BE49-F238E27FC236}">
                  <a16:creationId xmlns:a16="http://schemas.microsoft.com/office/drawing/2014/main" xmlns="" id="{00000000-0008-0000-0100-00002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Duty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76200</xdr:rowOff>
        </xdr:from>
        <xdr:to>
          <xdr:col>14</xdr:col>
          <xdr:colOff>219075</xdr:colOff>
          <xdr:row>2</xdr:row>
          <xdr:rowOff>104775</xdr:rowOff>
        </xdr:to>
        <xdr:sp macro="" textlink="">
          <xdr:nvSpPr>
            <xdr:cNvPr id="6187" name="Button 43" hidden="1">
              <a:extLst>
                <a:ext uri="{63B3BB69-23CF-44E3-9099-C40C66FF867C}">
                  <a14:compatExt spid="_x0000_s6187"/>
                </a:ext>
                <a:ext uri="{FF2B5EF4-FFF2-40B4-BE49-F238E27FC236}">
                  <a16:creationId xmlns:a16="http://schemas.microsoft.com/office/drawing/2014/main" xmlns="" id="{00000000-0008-0000-0100-00002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Battalion Non-Availability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76200</xdr:colOff>
          <xdr:row>21</xdr:row>
          <xdr:rowOff>19050</xdr:rowOff>
        </xdr:from>
        <xdr:to>
          <xdr:col>31</xdr:col>
          <xdr:colOff>142875</xdr:colOff>
          <xdr:row>24</xdr:row>
          <xdr:rowOff>19050</xdr:rowOff>
        </xdr:to>
        <xdr:sp macro="" textlink="">
          <xdr:nvSpPr>
            <xdr:cNvPr id="6189" name="Button 45" hidden="1">
              <a:extLst>
                <a:ext uri="{63B3BB69-23CF-44E3-9099-C40C66FF867C}">
                  <a14:compatExt spid="_x0000_s6189"/>
                </a:ext>
                <a:ext uri="{FF2B5EF4-FFF2-40B4-BE49-F238E27FC236}">
                  <a16:creationId xmlns:a16="http://schemas.microsoft.com/office/drawing/2014/main" xmlns="" id="{00000000-0008-0000-0100-00002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Company Non-Availability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390525</xdr:colOff>
          <xdr:row>21</xdr:row>
          <xdr:rowOff>19050</xdr:rowOff>
        </xdr:from>
        <xdr:to>
          <xdr:col>33</xdr:col>
          <xdr:colOff>457200</xdr:colOff>
          <xdr:row>24</xdr:row>
          <xdr:rowOff>19050</xdr:rowOff>
        </xdr:to>
        <xdr:sp macro="" textlink="">
          <xdr:nvSpPr>
            <xdr:cNvPr id="6190" name="Button 46" hidden="1">
              <a:extLst>
                <a:ext uri="{63B3BB69-23CF-44E3-9099-C40C66FF867C}">
                  <a14:compatExt spid="_x0000_s6190"/>
                </a:ext>
                <a:ext uri="{FF2B5EF4-FFF2-40B4-BE49-F238E27FC236}">
                  <a16:creationId xmlns:a16="http://schemas.microsoft.com/office/drawing/2014/main" xmlns="" id="{00000000-0008-0000-01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Battalion Non-Availability Roster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8</xdr:row>
          <xdr:rowOff>66675</xdr:rowOff>
        </xdr:from>
        <xdr:to>
          <xdr:col>1</xdr:col>
          <xdr:colOff>885825</xdr:colOff>
          <xdr:row>12</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Company List in Company Non-Availability Roster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628650</xdr:colOff>
          <xdr:row>18</xdr:row>
          <xdr:rowOff>180975</xdr:rowOff>
        </xdr:from>
        <xdr:to>
          <xdr:col>2</xdr:col>
          <xdr:colOff>419100</xdr:colOff>
          <xdr:row>21</xdr:row>
          <xdr:rowOff>28575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295275</xdr:colOff>
          <xdr:row>0</xdr:row>
          <xdr:rowOff>180975</xdr:rowOff>
        </xdr:from>
        <xdr:to>
          <xdr:col>13</xdr:col>
          <xdr:colOff>314325</xdr:colOff>
          <xdr:row>2</xdr:row>
          <xdr:rowOff>28575</xdr:rowOff>
        </xdr:to>
        <xdr:sp macro="" textlink="">
          <xdr:nvSpPr>
            <xdr:cNvPr id="8195" name="ExtDevMd"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sqref="A1:XFD1048576"/>
    </sheetView>
  </sheetViews>
  <sheetFormatPr defaultRowHeight="15" x14ac:dyDescent="0.25"/>
  <cols>
    <col min="1" max="9" width="9.140625" style="95"/>
    <col min="10" max="16384" width="9.140625" style="86"/>
  </cols>
  <sheetData>
    <row r="1" spans="1:21" ht="15" customHeight="1" x14ac:dyDescent="0.25">
      <c r="A1" s="143" t="s">
        <v>85</v>
      </c>
      <c r="B1" s="144"/>
      <c r="C1" s="144"/>
      <c r="D1" s="144"/>
      <c r="E1" s="144"/>
      <c r="F1" s="144"/>
      <c r="G1" s="144"/>
      <c r="H1" s="144"/>
      <c r="I1" s="145"/>
      <c r="K1" s="87" t="s">
        <v>57</v>
      </c>
      <c r="L1" s="88"/>
      <c r="M1" s="88"/>
      <c r="N1" s="88"/>
      <c r="O1" s="88"/>
      <c r="P1" s="88"/>
      <c r="Q1" s="88"/>
      <c r="R1" s="89"/>
    </row>
    <row r="2" spans="1:21" x14ac:dyDescent="0.25">
      <c r="A2" s="146"/>
      <c r="B2" s="147"/>
      <c r="C2" s="147"/>
      <c r="D2" s="147"/>
      <c r="E2" s="147"/>
      <c r="F2" s="147"/>
      <c r="G2" s="147"/>
      <c r="H2" s="147"/>
      <c r="I2" s="148"/>
      <c r="K2" s="90"/>
      <c r="R2" s="91"/>
    </row>
    <row r="3" spans="1:21" x14ac:dyDescent="0.25">
      <c r="A3" s="146"/>
      <c r="B3" s="147"/>
      <c r="C3" s="147"/>
      <c r="D3" s="147"/>
      <c r="E3" s="147"/>
      <c r="F3" s="147"/>
      <c r="G3" s="147"/>
      <c r="H3" s="147"/>
      <c r="I3" s="148"/>
      <c r="K3" s="90"/>
      <c r="R3" s="91"/>
    </row>
    <row r="4" spans="1:21" x14ac:dyDescent="0.25">
      <c r="A4" s="146"/>
      <c r="B4" s="147"/>
      <c r="C4" s="147"/>
      <c r="D4" s="147"/>
      <c r="E4" s="147"/>
      <c r="F4" s="147"/>
      <c r="G4" s="147"/>
      <c r="H4" s="147"/>
      <c r="I4" s="148"/>
      <c r="K4" s="87" t="s">
        <v>58</v>
      </c>
      <c r="L4" s="88"/>
      <c r="M4" s="88"/>
      <c r="N4" s="88"/>
      <c r="O4" s="88"/>
      <c r="P4" s="96"/>
      <c r="Q4" s="88"/>
      <c r="R4" s="88"/>
      <c r="S4" s="88"/>
      <c r="T4" s="88"/>
      <c r="U4" s="89"/>
    </row>
    <row r="5" spans="1:21" x14ac:dyDescent="0.25">
      <c r="A5" s="146"/>
      <c r="B5" s="147"/>
      <c r="C5" s="147"/>
      <c r="D5" s="147"/>
      <c r="E5" s="147"/>
      <c r="F5" s="147"/>
      <c r="G5" s="147"/>
      <c r="H5" s="147"/>
      <c r="I5" s="148"/>
      <c r="K5" s="90"/>
      <c r="U5" s="91"/>
    </row>
    <row r="6" spans="1:21" x14ac:dyDescent="0.25">
      <c r="A6" s="146"/>
      <c r="B6" s="147"/>
      <c r="C6" s="147"/>
      <c r="D6" s="147"/>
      <c r="E6" s="147"/>
      <c r="F6" s="147"/>
      <c r="G6" s="147"/>
      <c r="H6" s="147"/>
      <c r="I6" s="148"/>
      <c r="K6" s="90"/>
      <c r="U6" s="91"/>
    </row>
    <row r="7" spans="1:21" x14ac:dyDescent="0.25">
      <c r="A7" s="146"/>
      <c r="B7" s="147"/>
      <c r="C7" s="147"/>
      <c r="D7" s="147"/>
      <c r="E7" s="147"/>
      <c r="F7" s="147"/>
      <c r="G7" s="147"/>
      <c r="H7" s="147"/>
      <c r="I7" s="148"/>
      <c r="K7" s="92"/>
      <c r="L7" s="93"/>
      <c r="M7" s="93"/>
      <c r="N7" s="93"/>
      <c r="O7" s="93"/>
      <c r="P7" s="93"/>
      <c r="Q7" s="93"/>
      <c r="R7" s="93"/>
      <c r="S7" s="93"/>
      <c r="T7" s="93"/>
      <c r="U7" s="94"/>
    </row>
    <row r="8" spans="1:21" x14ac:dyDescent="0.25">
      <c r="A8" s="146"/>
      <c r="B8" s="147"/>
      <c r="C8" s="147"/>
      <c r="D8" s="147"/>
      <c r="E8" s="147"/>
      <c r="F8" s="147"/>
      <c r="G8" s="147"/>
      <c r="H8" s="147"/>
      <c r="I8" s="148"/>
      <c r="K8" s="87" t="s">
        <v>59</v>
      </c>
      <c r="L8" s="88"/>
      <c r="M8" s="88"/>
      <c r="N8" s="88"/>
      <c r="O8" s="89"/>
      <c r="P8" s="87" t="s">
        <v>67</v>
      </c>
      <c r="Q8" s="88"/>
      <c r="R8" s="88"/>
      <c r="S8" s="88"/>
      <c r="T8" s="88"/>
      <c r="U8" s="89"/>
    </row>
    <row r="9" spans="1:21" x14ac:dyDescent="0.25">
      <c r="A9" s="146"/>
      <c r="B9" s="147"/>
      <c r="C9" s="147"/>
      <c r="D9" s="147"/>
      <c r="E9" s="147"/>
      <c r="F9" s="147"/>
      <c r="G9" s="147"/>
      <c r="H9" s="147"/>
      <c r="I9" s="148"/>
      <c r="K9" s="90"/>
      <c r="O9" s="91"/>
      <c r="P9" s="90"/>
      <c r="U9" s="91"/>
    </row>
    <row r="10" spans="1:21" x14ac:dyDescent="0.25">
      <c r="A10" s="146"/>
      <c r="B10" s="147"/>
      <c r="C10" s="147"/>
      <c r="D10" s="147"/>
      <c r="E10" s="147"/>
      <c r="F10" s="147"/>
      <c r="G10" s="147"/>
      <c r="H10" s="147"/>
      <c r="I10" s="148"/>
      <c r="K10" s="90"/>
      <c r="O10" s="91"/>
      <c r="P10" s="90"/>
      <c r="U10" s="91"/>
    </row>
    <row r="11" spans="1:21" x14ac:dyDescent="0.25">
      <c r="A11" s="146"/>
      <c r="B11" s="147"/>
      <c r="C11" s="147"/>
      <c r="D11" s="147"/>
      <c r="E11" s="147"/>
      <c r="F11" s="147"/>
      <c r="G11" s="147"/>
      <c r="H11" s="147"/>
      <c r="I11" s="148"/>
      <c r="K11" s="90"/>
      <c r="O11" s="91"/>
      <c r="P11" s="90"/>
      <c r="U11" s="91"/>
    </row>
    <row r="12" spans="1:21" x14ac:dyDescent="0.25">
      <c r="A12" s="146"/>
      <c r="B12" s="147"/>
      <c r="C12" s="147"/>
      <c r="D12" s="147"/>
      <c r="E12" s="147"/>
      <c r="F12" s="147"/>
      <c r="G12" s="147"/>
      <c r="H12" s="147"/>
      <c r="I12" s="148"/>
      <c r="K12" s="90"/>
      <c r="O12" s="91"/>
      <c r="P12" s="90"/>
      <c r="U12" s="91"/>
    </row>
    <row r="13" spans="1:21" x14ac:dyDescent="0.25">
      <c r="A13" s="146"/>
      <c r="B13" s="147"/>
      <c r="C13" s="147"/>
      <c r="D13" s="147"/>
      <c r="E13" s="147"/>
      <c r="F13" s="147"/>
      <c r="G13" s="147"/>
      <c r="H13" s="147"/>
      <c r="I13" s="148"/>
      <c r="K13" s="90"/>
      <c r="O13" s="91"/>
      <c r="P13" s="90"/>
      <c r="U13" s="91"/>
    </row>
    <row r="14" spans="1:21" x14ac:dyDescent="0.25">
      <c r="A14" s="146"/>
      <c r="B14" s="147"/>
      <c r="C14" s="147"/>
      <c r="D14" s="147"/>
      <c r="E14" s="147"/>
      <c r="F14" s="147"/>
      <c r="G14" s="147"/>
      <c r="H14" s="147"/>
      <c r="I14" s="148"/>
      <c r="K14" s="90"/>
      <c r="O14" s="91"/>
      <c r="P14" s="90"/>
      <c r="U14" s="91"/>
    </row>
    <row r="15" spans="1:21" x14ac:dyDescent="0.25">
      <c r="A15" s="146"/>
      <c r="B15" s="147"/>
      <c r="C15" s="147"/>
      <c r="D15" s="147"/>
      <c r="E15" s="147"/>
      <c r="F15" s="147"/>
      <c r="G15" s="147"/>
      <c r="H15" s="147"/>
      <c r="I15" s="148"/>
      <c r="K15" s="90"/>
      <c r="O15" s="91"/>
      <c r="P15" s="90"/>
      <c r="U15" s="91"/>
    </row>
    <row r="16" spans="1:21" x14ac:dyDescent="0.25">
      <c r="A16" s="146"/>
      <c r="B16" s="147"/>
      <c r="C16" s="147"/>
      <c r="D16" s="147"/>
      <c r="E16" s="147"/>
      <c r="F16" s="147"/>
      <c r="G16" s="147"/>
      <c r="H16" s="147"/>
      <c r="I16" s="148"/>
      <c r="K16" s="90"/>
      <c r="O16" s="91"/>
      <c r="P16" s="90"/>
      <c r="U16" s="91"/>
    </row>
    <row r="17" spans="1:21" x14ac:dyDescent="0.25">
      <c r="A17" s="146"/>
      <c r="B17" s="147"/>
      <c r="C17" s="147"/>
      <c r="D17" s="147"/>
      <c r="E17" s="147"/>
      <c r="F17" s="147"/>
      <c r="G17" s="147"/>
      <c r="H17" s="147"/>
      <c r="I17" s="148"/>
      <c r="K17" s="90"/>
      <c r="O17" s="91"/>
      <c r="P17" s="92"/>
      <c r="Q17" s="93"/>
      <c r="R17" s="93"/>
      <c r="S17" s="93"/>
      <c r="T17" s="93"/>
      <c r="U17" s="94"/>
    </row>
    <row r="18" spans="1:21" x14ac:dyDescent="0.25">
      <c r="A18" s="146"/>
      <c r="B18" s="147"/>
      <c r="C18" s="147"/>
      <c r="D18" s="147"/>
      <c r="E18" s="147"/>
      <c r="F18" s="147"/>
      <c r="G18" s="147"/>
      <c r="H18" s="147"/>
      <c r="I18" s="148"/>
      <c r="K18" s="90"/>
      <c r="O18" s="91"/>
    </row>
    <row r="19" spans="1:21" x14ac:dyDescent="0.25">
      <c r="A19" s="146"/>
      <c r="B19" s="147"/>
      <c r="C19" s="147"/>
      <c r="D19" s="147"/>
      <c r="E19" s="147"/>
      <c r="F19" s="147"/>
      <c r="G19" s="147"/>
      <c r="H19" s="147"/>
      <c r="I19" s="148"/>
      <c r="K19" s="90"/>
      <c r="O19" s="91"/>
    </row>
    <row r="20" spans="1:21" x14ac:dyDescent="0.25">
      <c r="A20" s="146"/>
      <c r="B20" s="147"/>
      <c r="C20" s="147"/>
      <c r="D20" s="147"/>
      <c r="E20" s="147"/>
      <c r="F20" s="147"/>
      <c r="G20" s="147"/>
      <c r="H20" s="147"/>
      <c r="I20" s="148"/>
      <c r="K20" s="90"/>
      <c r="O20" s="91"/>
    </row>
    <row r="21" spans="1:21" x14ac:dyDescent="0.25">
      <c r="A21" s="146"/>
      <c r="B21" s="147"/>
      <c r="C21" s="147"/>
      <c r="D21" s="147"/>
      <c r="E21" s="147"/>
      <c r="F21" s="147"/>
      <c r="G21" s="147"/>
      <c r="H21" s="147"/>
      <c r="I21" s="148"/>
      <c r="K21" s="90"/>
      <c r="O21" s="91"/>
    </row>
    <row r="22" spans="1:21" x14ac:dyDescent="0.25">
      <c r="A22" s="146"/>
      <c r="B22" s="147"/>
      <c r="C22" s="147"/>
      <c r="D22" s="147"/>
      <c r="E22" s="147"/>
      <c r="F22" s="147"/>
      <c r="G22" s="147"/>
      <c r="H22" s="147"/>
      <c r="I22" s="148"/>
      <c r="K22" s="90"/>
      <c r="O22" s="91"/>
    </row>
    <row r="23" spans="1:21" x14ac:dyDescent="0.25">
      <c r="A23" s="146"/>
      <c r="B23" s="147"/>
      <c r="C23" s="147"/>
      <c r="D23" s="147"/>
      <c r="E23" s="147"/>
      <c r="F23" s="147"/>
      <c r="G23" s="147"/>
      <c r="H23" s="147"/>
      <c r="I23" s="148"/>
      <c r="K23" s="90"/>
      <c r="O23" s="91"/>
    </row>
    <row r="24" spans="1:21" x14ac:dyDescent="0.25">
      <c r="A24" s="146"/>
      <c r="B24" s="147"/>
      <c r="C24" s="147"/>
      <c r="D24" s="147"/>
      <c r="E24" s="147"/>
      <c r="F24" s="147"/>
      <c r="G24" s="147"/>
      <c r="H24" s="147"/>
      <c r="I24" s="148"/>
      <c r="K24" s="90"/>
      <c r="O24" s="91"/>
    </row>
    <row r="25" spans="1:21" x14ac:dyDescent="0.25">
      <c r="A25" s="146"/>
      <c r="B25" s="147"/>
      <c r="C25" s="147"/>
      <c r="D25" s="147"/>
      <c r="E25" s="147"/>
      <c r="F25" s="147"/>
      <c r="G25" s="147"/>
      <c r="H25" s="147"/>
      <c r="I25" s="148"/>
      <c r="K25" s="90"/>
      <c r="O25" s="91"/>
    </row>
    <row r="26" spans="1:21" x14ac:dyDescent="0.25">
      <c r="A26" s="146"/>
      <c r="B26" s="147"/>
      <c r="C26" s="147"/>
      <c r="D26" s="147"/>
      <c r="E26" s="147"/>
      <c r="F26" s="147"/>
      <c r="G26" s="147"/>
      <c r="H26" s="147"/>
      <c r="I26" s="148"/>
      <c r="K26" s="90"/>
      <c r="O26" s="91"/>
    </row>
    <row r="27" spans="1:21" x14ac:dyDescent="0.25">
      <c r="A27" s="146"/>
      <c r="B27" s="147"/>
      <c r="C27" s="147"/>
      <c r="D27" s="147"/>
      <c r="E27" s="147"/>
      <c r="F27" s="147"/>
      <c r="G27" s="147"/>
      <c r="H27" s="147"/>
      <c r="I27" s="148"/>
      <c r="K27" s="90"/>
      <c r="O27" s="91"/>
    </row>
    <row r="28" spans="1:21" x14ac:dyDescent="0.25">
      <c r="A28" s="146"/>
      <c r="B28" s="147"/>
      <c r="C28" s="147"/>
      <c r="D28" s="147"/>
      <c r="E28" s="147"/>
      <c r="F28" s="147"/>
      <c r="G28" s="147"/>
      <c r="H28" s="147"/>
      <c r="I28" s="148"/>
      <c r="K28" s="90"/>
      <c r="O28" s="91"/>
    </row>
    <row r="29" spans="1:21" x14ac:dyDescent="0.25">
      <c r="A29" s="146"/>
      <c r="B29" s="147"/>
      <c r="C29" s="147"/>
      <c r="D29" s="147"/>
      <c r="E29" s="147"/>
      <c r="F29" s="147"/>
      <c r="G29" s="147"/>
      <c r="H29" s="147"/>
      <c r="I29" s="148"/>
      <c r="K29" s="92"/>
      <c r="L29" s="93"/>
      <c r="M29" s="93"/>
      <c r="N29" s="93"/>
      <c r="O29" s="94"/>
    </row>
    <row r="30" spans="1:21" ht="15.75" thickBot="1" x14ac:dyDescent="0.3">
      <c r="A30" s="149"/>
      <c r="B30" s="150"/>
      <c r="C30" s="150"/>
      <c r="D30" s="150"/>
      <c r="E30" s="150"/>
      <c r="F30" s="150"/>
      <c r="G30" s="150"/>
      <c r="H30" s="150"/>
      <c r="I30" s="151"/>
    </row>
    <row r="31" spans="1:21" ht="15.75" thickBot="1" x14ac:dyDescent="0.3"/>
    <row r="32" spans="1:21" x14ac:dyDescent="0.25">
      <c r="C32" s="158" t="s">
        <v>111</v>
      </c>
      <c r="D32" s="159"/>
      <c r="E32" s="159"/>
      <c r="F32" s="160"/>
    </row>
    <row r="33" spans="3:6" ht="15.75" thickBot="1" x14ac:dyDescent="0.3">
      <c r="C33" s="161"/>
      <c r="D33" s="162"/>
      <c r="E33" s="162"/>
      <c r="F33" s="163"/>
    </row>
    <row r="34" spans="3:6" ht="15.75" thickBot="1" x14ac:dyDescent="0.3">
      <c r="C34" s="132" t="s">
        <v>107</v>
      </c>
      <c r="D34" s="152" t="s">
        <v>110</v>
      </c>
      <c r="E34" s="153"/>
      <c r="F34" s="154"/>
    </row>
    <row r="35" spans="3:6" ht="15.75" thickBot="1" x14ac:dyDescent="0.3">
      <c r="C35" s="132" t="s">
        <v>108</v>
      </c>
      <c r="D35" s="155" t="s">
        <v>109</v>
      </c>
      <c r="E35" s="156"/>
      <c r="F35" s="157"/>
    </row>
  </sheetData>
  <sheetProtection algorithmName="SHA-512" hashValue="NFnRzSUN+trZdrbCqiiXsa5lQiXDBAMNetoj80vIH6nJ/zjCdDNu5y+ervsTesXZ/iYqPTjyEI7xMkSBWOZOkw==" saltValue="lTx5g2CVtajMeqOuXLOxpQ==" spinCount="100000" sheet="1" objects="1" scenarios="1" selectLockedCells="1" sort="0" autoFilter="0" selectUnlockedCells="1"/>
  <mergeCells count="4">
    <mergeCell ref="A1:I30"/>
    <mergeCell ref="D34:F34"/>
    <mergeCell ref="D35:F35"/>
    <mergeCell ref="C32:F33"/>
  </mergeCells>
  <hyperlinks>
    <hyperlink ref="D34" r:id="rId1"/>
    <hyperlink ref="D35" r:id="rId2"/>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49"/>
  <sheetViews>
    <sheetView zoomScaleNormal="100" workbookViewId="0">
      <selection activeCell="A2" sqref="A2:B2"/>
    </sheetView>
  </sheetViews>
  <sheetFormatPr defaultColWidth="7.7109375" defaultRowHeight="15" x14ac:dyDescent="0.25"/>
  <cols>
    <col min="1" max="2" width="7.7109375" style="98" customWidth="1"/>
    <col min="3" max="4" width="7.7109375" style="98"/>
    <col min="5" max="5" width="8.5703125" style="98" bestFit="1" customWidth="1"/>
    <col min="6" max="7" width="7.7109375" style="98"/>
    <col min="8" max="9" width="7.7109375" style="98" customWidth="1"/>
    <col min="10" max="21" width="7.7109375" style="98"/>
    <col min="22" max="23" width="8.140625" style="98" bestFit="1" customWidth="1"/>
    <col min="24" max="28" width="7.7109375" style="98"/>
    <col min="29" max="29" width="3.7109375" style="98" customWidth="1"/>
    <col min="30" max="30" width="7.7109375" style="98"/>
    <col min="31" max="32" width="7.7109375" style="98" customWidth="1"/>
    <col min="33" max="35" width="7.7109375" style="98"/>
    <col min="36" max="37" width="7.7109375" style="2" hidden="1" customWidth="1"/>
    <col min="38" max="16384" width="7.7109375" style="98"/>
  </cols>
  <sheetData>
    <row r="1" spans="1:37" ht="15.75" thickBot="1" x14ac:dyDescent="0.3">
      <c r="A1" s="190" t="s">
        <v>31</v>
      </c>
      <c r="B1" s="191"/>
      <c r="C1" s="3" t="s">
        <v>32</v>
      </c>
      <c r="D1" s="5" t="s">
        <v>69</v>
      </c>
      <c r="E1" s="179" t="s">
        <v>71</v>
      </c>
      <c r="F1" s="180"/>
      <c r="G1" s="5" t="s">
        <v>70</v>
      </c>
      <c r="H1" s="179" t="s">
        <v>72</v>
      </c>
      <c r="I1" s="180"/>
      <c r="X1" s="181" t="s">
        <v>74</v>
      </c>
      <c r="Y1" s="182"/>
      <c r="Z1" s="183"/>
      <c r="AA1" s="184"/>
      <c r="AB1" s="185"/>
      <c r="AE1" s="174" t="s">
        <v>116</v>
      </c>
      <c r="AF1" s="175"/>
      <c r="AG1" s="176"/>
    </row>
    <row r="2" spans="1:37" ht="15.75" thickBot="1" x14ac:dyDescent="0.3">
      <c r="A2" s="192" t="s">
        <v>81</v>
      </c>
      <c r="B2" s="193"/>
      <c r="C2" s="104">
        <v>2021</v>
      </c>
      <c r="D2" s="104">
        <v>5</v>
      </c>
      <c r="E2" s="177">
        <f>IFERROR(SUM(A3, +D2), "")</f>
        <v>44261</v>
      </c>
      <c r="F2" s="178"/>
      <c r="G2" s="104">
        <v>5</v>
      </c>
      <c r="H2" s="177">
        <f>IFERROR(SUM(B3, -G2), "")</f>
        <v>44281</v>
      </c>
      <c r="I2" s="178"/>
      <c r="X2" s="181" t="s">
        <v>73</v>
      </c>
      <c r="Y2" s="182"/>
      <c r="Z2" s="183"/>
      <c r="AA2" s="184"/>
      <c r="AB2" s="185"/>
    </row>
    <row r="3" spans="1:37" ht="15.75" thickBot="1" x14ac:dyDescent="0.3">
      <c r="A3" s="97">
        <f>IFERROR(VALUE(A2&amp;" "&amp;"1, "&amp;C2), "")</f>
        <v>44256</v>
      </c>
      <c r="B3" s="97">
        <f>IFERROR(EOMONTH(A3,0), "")</f>
        <v>44286</v>
      </c>
      <c r="C3" s="117"/>
      <c r="X3" s="181" t="s">
        <v>75</v>
      </c>
      <c r="Y3" s="182"/>
      <c r="Z3" s="183"/>
      <c r="AA3" s="184"/>
      <c r="AB3" s="185"/>
    </row>
    <row r="4" spans="1:37" x14ac:dyDescent="0.25">
      <c r="A4" s="194" t="s">
        <v>93</v>
      </c>
      <c r="B4" s="195"/>
      <c r="C4" s="195"/>
      <c r="D4" s="195"/>
      <c r="E4" s="195"/>
      <c r="F4" s="195"/>
      <c r="G4" s="195"/>
      <c r="H4" s="195"/>
      <c r="I4" s="195"/>
      <c r="J4" s="195"/>
      <c r="K4" s="195"/>
      <c r="L4" s="195"/>
      <c r="M4" s="195"/>
      <c r="N4" s="195"/>
      <c r="O4" s="195"/>
      <c r="P4" s="195"/>
      <c r="Q4" s="195"/>
      <c r="R4" s="195"/>
      <c r="S4" s="195"/>
      <c r="T4" s="195"/>
      <c r="U4" s="195"/>
      <c r="V4" s="195"/>
      <c r="W4" s="195"/>
      <c r="X4" s="195"/>
      <c r="Y4" s="195"/>
      <c r="Z4" s="195"/>
      <c r="AA4" s="195"/>
      <c r="AB4" s="196"/>
      <c r="AD4" s="168" t="s">
        <v>49</v>
      </c>
      <c r="AE4" s="169"/>
      <c r="AF4" s="169"/>
      <c r="AG4" s="169"/>
      <c r="AH4" s="170"/>
      <c r="AJ4" s="2">
        <f>$AB$7</f>
        <v>0</v>
      </c>
      <c r="AK4" s="2" t="str">
        <f>IF(DevMode!A2="","Unused",DevMode!A2)</f>
        <v>Alpha</v>
      </c>
    </row>
    <row r="5" spans="1:37" ht="15.75" thickBot="1" x14ac:dyDescent="0.3">
      <c r="A5" s="197"/>
      <c r="B5" s="198"/>
      <c r="C5" s="198"/>
      <c r="D5" s="198"/>
      <c r="E5" s="198"/>
      <c r="F5" s="198"/>
      <c r="G5" s="198"/>
      <c r="H5" s="198"/>
      <c r="I5" s="198"/>
      <c r="J5" s="198"/>
      <c r="K5" s="198"/>
      <c r="L5" s="198"/>
      <c r="M5" s="198"/>
      <c r="N5" s="198"/>
      <c r="O5" s="198"/>
      <c r="P5" s="198"/>
      <c r="Q5" s="198"/>
      <c r="R5" s="198"/>
      <c r="S5" s="198"/>
      <c r="T5" s="198"/>
      <c r="U5" s="198"/>
      <c r="V5" s="198"/>
      <c r="W5" s="198"/>
      <c r="X5" s="198"/>
      <c r="Y5" s="198"/>
      <c r="Z5" s="198"/>
      <c r="AA5" s="198"/>
      <c r="AB5" s="199"/>
      <c r="AD5" s="171"/>
      <c r="AE5" s="172"/>
      <c r="AF5" s="172"/>
      <c r="AG5" s="172"/>
      <c r="AH5" s="173"/>
      <c r="AJ5" s="2">
        <f>$AB$8</f>
        <v>0</v>
      </c>
      <c r="AK5" s="2" t="str">
        <f>IF(DevMode!A3="","Unused",DevMode!A3)</f>
        <v>Bravo</v>
      </c>
    </row>
    <row r="6" spans="1:37" ht="15.75" thickBot="1" x14ac:dyDescent="0.3">
      <c r="A6" s="6"/>
      <c r="B6" s="7" t="s">
        <v>7</v>
      </c>
      <c r="C6" s="7" t="s">
        <v>4</v>
      </c>
      <c r="D6" s="7" t="s">
        <v>8</v>
      </c>
      <c r="E6" s="7" t="s">
        <v>9</v>
      </c>
      <c r="F6" s="7" t="s">
        <v>10</v>
      </c>
      <c r="G6" s="7" t="s">
        <v>11</v>
      </c>
      <c r="H6" s="7" t="s">
        <v>12</v>
      </c>
      <c r="I6" s="7" t="s">
        <v>13</v>
      </c>
      <c r="J6" s="7" t="s">
        <v>29</v>
      </c>
      <c r="K6" s="7" t="s">
        <v>14</v>
      </c>
      <c r="L6" s="7" t="s">
        <v>15</v>
      </c>
      <c r="M6" s="7" t="s">
        <v>16</v>
      </c>
      <c r="N6" s="7" t="s">
        <v>6</v>
      </c>
      <c r="O6" s="7" t="s">
        <v>5</v>
      </c>
      <c r="P6" s="7" t="s">
        <v>17</v>
      </c>
      <c r="Q6" s="7" t="s">
        <v>18</v>
      </c>
      <c r="R6" s="7" t="s">
        <v>19</v>
      </c>
      <c r="S6" s="7" t="s">
        <v>20</v>
      </c>
      <c r="T6" s="7" t="s">
        <v>21</v>
      </c>
      <c r="U6" s="7" t="s">
        <v>22</v>
      </c>
      <c r="V6" s="7" t="s">
        <v>23</v>
      </c>
      <c r="W6" s="7" t="s">
        <v>24</v>
      </c>
      <c r="X6" s="7" t="s">
        <v>25</v>
      </c>
      <c r="Y6" s="7" t="s">
        <v>26</v>
      </c>
      <c r="Z6" s="7" t="s">
        <v>27</v>
      </c>
      <c r="AA6" s="7" t="s">
        <v>28</v>
      </c>
      <c r="AB6" s="7" t="s">
        <v>30</v>
      </c>
      <c r="AD6" s="166" t="s">
        <v>92</v>
      </c>
      <c r="AE6" s="167"/>
      <c r="AF6" s="167"/>
      <c r="AG6" s="167"/>
      <c r="AH6" s="114">
        <f>SUM(AB7:AB13)</f>
        <v>0</v>
      </c>
      <c r="AJ6" s="2">
        <f>$AB$9</f>
        <v>0</v>
      </c>
      <c r="AK6" s="2" t="str">
        <f>IF(DevMode!A4="","Unused",DevMode!A4)</f>
        <v>Charlie</v>
      </c>
    </row>
    <row r="7" spans="1:37" ht="15.75" thickBot="1" x14ac:dyDescent="0.3">
      <c r="A7" s="8" t="str">
        <f>IF(DevMode!A2="","Unused",DevMode!A2)</f>
        <v>Alpha</v>
      </c>
      <c r="B7" s="9">
        <f>IF($A$7="Unused",0,COUNTIFS('Available Bodies'!$A:$A, B6, 'Available Bodies'!$F:$F,DevMode!$B$2))</f>
        <v>0</v>
      </c>
      <c r="C7" s="141">
        <f>IF($A$7="Unused",0,COUNTIFS('Available Bodies'!$A:$A, C6, 'Available Bodies'!$F:$F,DevMode!$B$2))</f>
        <v>0</v>
      </c>
      <c r="D7" s="141">
        <f>IF($A$7="Unused",0,COUNTIFS('Available Bodies'!$A:$A, D6, 'Available Bodies'!$F:$F,DevMode!$B$2))</f>
        <v>0</v>
      </c>
      <c r="E7" s="141">
        <f>IF($A$7="Unused",0,COUNTIFS('Available Bodies'!$A:$A, E6, 'Available Bodies'!$F:$F,DevMode!$B$2))</f>
        <v>0</v>
      </c>
      <c r="F7" s="141">
        <f>IF($A$7="Unused",0,COUNTIFS('Available Bodies'!$A:$A, F6, 'Available Bodies'!$F:$F,DevMode!$B$2))</f>
        <v>0</v>
      </c>
      <c r="G7" s="141">
        <f>IF($A$7="Unused",0,COUNTIFS('Available Bodies'!$A:$A, G6, 'Available Bodies'!$F:$F,DevMode!$B$2))</f>
        <v>0</v>
      </c>
      <c r="H7" s="141">
        <f>IF($A$7="Unused",0,COUNTIFS('Available Bodies'!$A:$A, H6, 'Available Bodies'!$F:$F,DevMode!$B$2))</f>
        <v>0</v>
      </c>
      <c r="I7" s="141">
        <f>IF($A$7="Unused",0,COUNTIFS('Available Bodies'!$A:$A, I6, 'Available Bodies'!$F:$F,DevMode!$B$2))</f>
        <v>0</v>
      </c>
      <c r="J7" s="141">
        <f>IF($A$7="Unused",0,COUNTIFS('Available Bodies'!$A:$A, J6, 'Available Bodies'!$F:$F,DevMode!$B$2))</f>
        <v>0</v>
      </c>
      <c r="K7" s="141">
        <f>IF($A$7="Unused",0,COUNTIFS('Available Bodies'!$A:$A, K6, 'Available Bodies'!$F:$F,DevMode!$B$2))</f>
        <v>0</v>
      </c>
      <c r="L7" s="141">
        <f>IF($A$7="Unused",0,COUNTIFS('Available Bodies'!$A:$A, L6, 'Available Bodies'!$F:$F,DevMode!$B$2))</f>
        <v>0</v>
      </c>
      <c r="M7" s="141">
        <f>IF($A$7="Unused",0,COUNTIFS('Available Bodies'!$A:$A, M6, 'Available Bodies'!$F:$F,DevMode!$B$2))</f>
        <v>0</v>
      </c>
      <c r="N7" s="141">
        <f>IF($A$7="Unused",0,COUNTIFS('Available Bodies'!$A:$A, N6, 'Available Bodies'!$F:$F,DevMode!$B$2))</f>
        <v>0</v>
      </c>
      <c r="O7" s="141">
        <f>IF($A$7="Unused",0,COUNTIFS('Available Bodies'!$A:$A, O6, 'Available Bodies'!$F:$F,DevMode!$B$2))</f>
        <v>0</v>
      </c>
      <c r="P7" s="141">
        <f>IF($A$7="Unused",0,COUNTIFS('Available Bodies'!$A:$A, P6, 'Available Bodies'!$F:$F,DevMode!$B$2))</f>
        <v>0</v>
      </c>
      <c r="Q7" s="141">
        <f>IF($A$7="Unused",0,COUNTIFS('Available Bodies'!$A:$A, Q6, 'Available Bodies'!$F:$F,DevMode!$B$2))</f>
        <v>0</v>
      </c>
      <c r="R7" s="141">
        <f>IF($A$7="Unused",0,COUNTIFS('Available Bodies'!$A:$A, R6, 'Available Bodies'!$F:$F,DevMode!$B$2))</f>
        <v>0</v>
      </c>
      <c r="S7" s="141">
        <f>IF($A$7="Unused",0,COUNTIFS('Available Bodies'!$A:$A, S6, 'Available Bodies'!$F:$F,DevMode!$B$2))</f>
        <v>0</v>
      </c>
      <c r="T7" s="141">
        <f>IF($A$7="Unused",0,COUNTIFS('Available Bodies'!$A:$A, T6, 'Available Bodies'!$F:$F,DevMode!$B$2))</f>
        <v>0</v>
      </c>
      <c r="U7" s="141">
        <f>IF($A$7="Unused",0,COUNTIFS('Available Bodies'!$A:$A, U6, 'Available Bodies'!$F:$F,DevMode!$B$2))</f>
        <v>0</v>
      </c>
      <c r="V7" s="141">
        <f>IF($A$7="Unused",0,COUNTIFS('Available Bodies'!$A:$A, V6, 'Available Bodies'!$F:$F,DevMode!$B$2))</f>
        <v>0</v>
      </c>
      <c r="W7" s="141">
        <f>IF($A$7="Unused",0,COUNTIFS('Available Bodies'!$A:$A, W6, 'Available Bodies'!$F:$F,DevMode!$B$2))</f>
        <v>0</v>
      </c>
      <c r="X7" s="141">
        <f>IF($A$7="Unused",0,COUNTIFS('Available Bodies'!$A:$A, X6, 'Available Bodies'!$F:$F,DevMode!$B$2))</f>
        <v>0</v>
      </c>
      <c r="Y7" s="141">
        <f>IF($A$7="Unused",0,COUNTIFS('Available Bodies'!$A:$A, Y6, 'Available Bodies'!$F:$F,DevMode!$B$2))</f>
        <v>0</v>
      </c>
      <c r="Z7" s="141">
        <f>IF($A$7="Unused",0,COUNTIFS('Available Bodies'!$A:$A, Z6, 'Available Bodies'!$F:$F,DevMode!$B$2))</f>
        <v>0</v>
      </c>
      <c r="AA7" s="64">
        <f>IF($A$7="Unused",0,COUNTIFS('Available Bodies'!$A:$A, AA6, 'Available Bodies'!$F:$F,DevMode!$B$2))</f>
        <v>0</v>
      </c>
      <c r="AB7" s="108">
        <f>SUM(B7:AA7)</f>
        <v>0</v>
      </c>
      <c r="AD7" s="164" t="s">
        <v>46</v>
      </c>
      <c r="AE7" s="165"/>
      <c r="AF7" s="165"/>
      <c r="AG7" s="165"/>
      <c r="AH7" s="115">
        <f>DAY(End)*13</f>
        <v>403</v>
      </c>
      <c r="AJ7" s="2">
        <f>$AB$10</f>
        <v>0</v>
      </c>
      <c r="AK7" s="2" t="str">
        <f>IF(DevMode!A5="","Unused",DevMode!A5)</f>
        <v>Delta</v>
      </c>
    </row>
    <row r="8" spans="1:37" ht="15.75" thickBot="1" x14ac:dyDescent="0.3">
      <c r="A8" s="10" t="str">
        <f>IF(DevMode!A3="","Unused",DevMode!A3)</f>
        <v>Bravo</v>
      </c>
      <c r="B8" s="66">
        <f>IF($A$8="Unused",0,COUNTIFS('Available Bodies'!$A:$A, B6, 'Available Bodies'!$F:$F,DevMode!$B$3))</f>
        <v>0</v>
      </c>
      <c r="C8" s="136">
        <f>IF($A$8="Unused",0,COUNTIFS('Available Bodies'!$A:$A, C6, 'Available Bodies'!$F:$F,DevMode!$B$3))</f>
        <v>0</v>
      </c>
      <c r="D8" s="136">
        <f>IF($A$8="Unused",0,COUNTIFS('Available Bodies'!$A:$A, D6, 'Available Bodies'!$F:$F,DevMode!$B$3))</f>
        <v>0</v>
      </c>
      <c r="E8" s="136">
        <f>IF($A$8="Unused",0,COUNTIFS('Available Bodies'!$A:$A, E6, 'Available Bodies'!$F:$F,DevMode!$B$3))</f>
        <v>0</v>
      </c>
      <c r="F8" s="136">
        <f>IF($A$8="Unused",0,COUNTIFS('Available Bodies'!$A:$A, F6, 'Available Bodies'!$F:$F,DevMode!$B$3))</f>
        <v>0</v>
      </c>
      <c r="G8" s="136">
        <f>IF($A$8="Unused",0,COUNTIFS('Available Bodies'!$A:$A, G6, 'Available Bodies'!$F:$F,DevMode!$B$3))</f>
        <v>0</v>
      </c>
      <c r="H8" s="136">
        <f>IF($A$8="Unused",0,COUNTIFS('Available Bodies'!$A:$A, H6, 'Available Bodies'!$F:$F,DevMode!$B$3))</f>
        <v>0</v>
      </c>
      <c r="I8" s="136">
        <f>IF($A$8="Unused",0,COUNTIFS('Available Bodies'!$A:$A, I6, 'Available Bodies'!$F:$F,DevMode!$B$3))</f>
        <v>0</v>
      </c>
      <c r="J8" s="136">
        <f>IF($A$8="Unused",0,COUNTIFS('Available Bodies'!$A:$A, J6, 'Available Bodies'!$F:$F,DevMode!$B$3))</f>
        <v>0</v>
      </c>
      <c r="K8" s="136">
        <f>IF($A$8="Unused",0,COUNTIFS('Available Bodies'!$A:$A, K6, 'Available Bodies'!$F:$F,DevMode!$B$3))</f>
        <v>0</v>
      </c>
      <c r="L8" s="136">
        <f>IF($A$8="Unused",0,COUNTIFS('Available Bodies'!$A:$A, L6, 'Available Bodies'!$F:$F,DevMode!$B$3))</f>
        <v>0</v>
      </c>
      <c r="M8" s="136">
        <f>IF($A$8="Unused",0,COUNTIFS('Available Bodies'!$A:$A, M6, 'Available Bodies'!$F:$F,DevMode!$B$3))</f>
        <v>0</v>
      </c>
      <c r="N8" s="136">
        <f>IF($A$8="Unused",0,COUNTIFS('Available Bodies'!$A:$A, N6, 'Available Bodies'!$F:$F,DevMode!$B$3))</f>
        <v>0</v>
      </c>
      <c r="O8" s="136">
        <f>IF($A$8="Unused",0,COUNTIFS('Available Bodies'!$A:$A, O6, 'Available Bodies'!$F:$F,DevMode!$B$3))</f>
        <v>0</v>
      </c>
      <c r="P8" s="136">
        <f>IF($A$8="Unused",0,COUNTIFS('Available Bodies'!$A:$A, P6, 'Available Bodies'!$F:$F,DevMode!$B$3))</f>
        <v>0</v>
      </c>
      <c r="Q8" s="136">
        <f>IF($A$8="Unused",0,COUNTIFS('Available Bodies'!$A:$A, Q6, 'Available Bodies'!$F:$F,DevMode!$B$3))</f>
        <v>0</v>
      </c>
      <c r="R8" s="136">
        <f>IF($A$8="Unused",0,COUNTIFS('Available Bodies'!$A:$A, R6, 'Available Bodies'!$F:$F,DevMode!$B$3))</f>
        <v>0</v>
      </c>
      <c r="S8" s="136">
        <f>IF($A$8="Unused",0,COUNTIFS('Available Bodies'!$A:$A, S6, 'Available Bodies'!$F:$F,DevMode!$B$3))</f>
        <v>0</v>
      </c>
      <c r="T8" s="136">
        <f>IF($A$8="Unused",0,COUNTIFS('Available Bodies'!$A:$A, T6, 'Available Bodies'!$F:$F,DevMode!$B$3))</f>
        <v>0</v>
      </c>
      <c r="U8" s="136">
        <f>IF($A$8="Unused",0,COUNTIFS('Available Bodies'!$A:$A, U6, 'Available Bodies'!$F:$F,DevMode!$B$3))</f>
        <v>0</v>
      </c>
      <c r="V8" s="136">
        <f>IF($A$8="Unused",0,COUNTIFS('Available Bodies'!$A:$A, V6, 'Available Bodies'!$F:$F,DevMode!$B$3))</f>
        <v>0</v>
      </c>
      <c r="W8" s="136">
        <f>IF($A$8="Unused",0,COUNTIFS('Available Bodies'!$A:$A, W6, 'Available Bodies'!$F:$F,DevMode!$B$3))</f>
        <v>0</v>
      </c>
      <c r="X8" s="136">
        <f>IF($A$8="Unused",0,COUNTIFS('Available Bodies'!$A:$A, X6, 'Available Bodies'!$F:$F,DevMode!$B$3))</f>
        <v>0</v>
      </c>
      <c r="Y8" s="136">
        <f>IF($A$8="Unused",0,COUNTIFS('Available Bodies'!$A:$A, Y6, 'Available Bodies'!$F:$F,DevMode!$B$3))</f>
        <v>0</v>
      </c>
      <c r="Z8" s="136">
        <f>IF($A$8="Unused",0,COUNTIFS('Available Bodies'!$A:$A, Z6, 'Available Bodies'!$F:$F,DevMode!$B$3))</f>
        <v>0</v>
      </c>
      <c r="AA8" s="67">
        <f>IF($A$8="Unused",0,COUNTIFS('Available Bodies'!$A:$A, AA6, 'Available Bodies'!$F:$F,DevMode!$B$3))</f>
        <v>0</v>
      </c>
      <c r="AB8" s="109">
        <f t="shared" ref="AB8:AB13" si="0">SUM(B8:AA8)</f>
        <v>0</v>
      </c>
      <c r="AD8" s="164" t="s">
        <v>47</v>
      </c>
      <c r="AE8" s="165"/>
      <c r="AF8" s="165"/>
      <c r="AG8" s="165"/>
      <c r="AH8" s="115">
        <f>COUNTA(DevMode!A2:A8)</f>
        <v>7</v>
      </c>
      <c r="AJ8" s="2">
        <f>$AB$11</f>
        <v>0</v>
      </c>
      <c r="AK8" s="2" t="str">
        <f>IF(DevMode!A6="","Unused",DevMode!A6)</f>
        <v>GS</v>
      </c>
    </row>
    <row r="9" spans="1:37" ht="15.75" thickBot="1" x14ac:dyDescent="0.3">
      <c r="A9" s="11" t="str">
        <f>IF(DevMode!A4="","Unused",DevMode!A4)</f>
        <v>Charlie</v>
      </c>
      <c r="B9" s="68">
        <f>IF($A$9="Unused",0,COUNTIFS('Available Bodies'!$A:$A, B6, 'Available Bodies'!$F:$F,DevMode!$B$4))</f>
        <v>0</v>
      </c>
      <c r="C9" s="137">
        <f>IF($A$9="Unused",0,COUNTIFS('Available Bodies'!$A:$A, C6, 'Available Bodies'!$F:$F,DevMode!$B$4))</f>
        <v>0</v>
      </c>
      <c r="D9" s="137">
        <f>IF($A$9="Unused",0,COUNTIFS('Available Bodies'!$A:$A, D6, 'Available Bodies'!$F:$F,DevMode!$B$4))</f>
        <v>0</v>
      </c>
      <c r="E9" s="137">
        <f>IF($A$9="Unused",0,COUNTIFS('Available Bodies'!$A:$A, E6, 'Available Bodies'!$F:$F,DevMode!$B$4))</f>
        <v>0</v>
      </c>
      <c r="F9" s="137">
        <f>IF($A$9="Unused",0,COUNTIFS('Available Bodies'!$A:$A, F6, 'Available Bodies'!$F:$F,DevMode!$B$4))</f>
        <v>0</v>
      </c>
      <c r="G9" s="137">
        <f>IF($A$9="Unused",0,COUNTIFS('Available Bodies'!$A:$A, G6, 'Available Bodies'!$F:$F,DevMode!$B$4))</f>
        <v>0</v>
      </c>
      <c r="H9" s="137">
        <f>IF($A$9="Unused",0,COUNTIFS('Available Bodies'!$A:$A, H6, 'Available Bodies'!$F:$F,DevMode!$B$4))</f>
        <v>0</v>
      </c>
      <c r="I9" s="137">
        <f>IF($A$9="Unused",0,COUNTIFS('Available Bodies'!$A:$A, I6, 'Available Bodies'!$F:$F,DevMode!$B$4))</f>
        <v>0</v>
      </c>
      <c r="J9" s="137">
        <f>IF($A$9="Unused",0,COUNTIFS('Available Bodies'!$A:$A, J6, 'Available Bodies'!$F:$F,DevMode!$B$4))</f>
        <v>0</v>
      </c>
      <c r="K9" s="137">
        <f>IF($A$9="Unused",0,COUNTIFS('Available Bodies'!$A:$A, K6, 'Available Bodies'!$F:$F,DevMode!$B$4))</f>
        <v>0</v>
      </c>
      <c r="L9" s="137">
        <f>IF($A$9="Unused",0,COUNTIFS('Available Bodies'!$A:$A, L6, 'Available Bodies'!$F:$F,DevMode!$B$4))</f>
        <v>0</v>
      </c>
      <c r="M9" s="137">
        <f>IF($A$9="Unused",0,COUNTIFS('Available Bodies'!$A:$A, M6, 'Available Bodies'!$F:$F,DevMode!$B$4))</f>
        <v>0</v>
      </c>
      <c r="N9" s="137">
        <f>IF($A$9="Unused",0,COUNTIFS('Available Bodies'!$A:$A, N6, 'Available Bodies'!$F:$F,DevMode!$B$4))</f>
        <v>0</v>
      </c>
      <c r="O9" s="137">
        <f>IF($A$9="Unused",0,COUNTIFS('Available Bodies'!$A:$A, O6, 'Available Bodies'!$F:$F,DevMode!$B$4))</f>
        <v>0</v>
      </c>
      <c r="P9" s="137">
        <f>IF($A$9="Unused",0,COUNTIFS('Available Bodies'!$A:$A, P6, 'Available Bodies'!$F:$F,DevMode!$B$4))</f>
        <v>0</v>
      </c>
      <c r="Q9" s="137">
        <f>IF($A$9="Unused",0,COUNTIFS('Available Bodies'!$A:$A, Q6, 'Available Bodies'!$F:$F,DevMode!$B$4))</f>
        <v>0</v>
      </c>
      <c r="R9" s="137">
        <f>IF($A$9="Unused",0,COUNTIFS('Available Bodies'!$A:$A, R6, 'Available Bodies'!$F:$F,DevMode!$B$4))</f>
        <v>0</v>
      </c>
      <c r="S9" s="137">
        <f>IF($A$9="Unused",0,COUNTIFS('Available Bodies'!$A:$A, S6, 'Available Bodies'!$F:$F,DevMode!$B$4))</f>
        <v>0</v>
      </c>
      <c r="T9" s="137">
        <f>IF($A$9="Unused",0,COUNTIFS('Available Bodies'!$A:$A, T6, 'Available Bodies'!$F:$F,DevMode!$B$4))</f>
        <v>0</v>
      </c>
      <c r="U9" s="137">
        <f>IF($A$9="Unused",0,COUNTIFS('Available Bodies'!$A:$A, U6, 'Available Bodies'!$F:$F,DevMode!$B$4))</f>
        <v>0</v>
      </c>
      <c r="V9" s="137">
        <f>IF($A$9="Unused",0,COUNTIFS('Available Bodies'!$A:$A, V6, 'Available Bodies'!$F:$F,DevMode!$B$4))</f>
        <v>0</v>
      </c>
      <c r="W9" s="137">
        <f>IF($A$9="Unused",0,COUNTIFS('Available Bodies'!$A:$A, W6, 'Available Bodies'!$F:$F,DevMode!$B$4))</f>
        <v>0</v>
      </c>
      <c r="X9" s="137">
        <f>IF($A$9="Unused",0,COUNTIFS('Available Bodies'!$A:$A, X6, 'Available Bodies'!$F:$F,DevMode!$B$4))</f>
        <v>0</v>
      </c>
      <c r="Y9" s="137">
        <f>IF($A$9="Unused",0,COUNTIFS('Available Bodies'!$A:$A, Y6, 'Available Bodies'!$F:$F,DevMode!$B$4))</f>
        <v>0</v>
      </c>
      <c r="Z9" s="137">
        <f>IF($A$9="Unused",0,COUNTIFS('Available Bodies'!$A:$A, Z6, 'Available Bodies'!$F:$F,DevMode!$B$4))</f>
        <v>0</v>
      </c>
      <c r="AA9" s="69">
        <f>IF($A$9="Unused",0,COUNTIFS('Available Bodies'!$A:$A, AA6, 'Available Bodies'!$F:$F,DevMode!$B$4))</f>
        <v>0</v>
      </c>
      <c r="AB9" s="109">
        <f t="shared" si="0"/>
        <v>0</v>
      </c>
      <c r="AD9" s="186" t="s">
        <v>48</v>
      </c>
      <c r="AE9" s="187"/>
      <c r="AF9" s="187"/>
      <c r="AG9" s="187"/>
      <c r="AH9" s="116" t="str">
        <f>IF(MAX(AJ4:AJ10)=0, "NONE", VLOOKUP(MAX(AJ4:AJ10),AJ4:AK10,2,FALSE))</f>
        <v>NONE</v>
      </c>
      <c r="AJ9" s="2">
        <f>$AB$12</f>
        <v>0</v>
      </c>
      <c r="AK9" s="2" t="str">
        <f>IF(DevMode!A7="","Unused",DevMode!A7)</f>
        <v>HQ</v>
      </c>
    </row>
    <row r="10" spans="1:37" ht="15.75" thickBot="1" x14ac:dyDescent="0.3">
      <c r="A10" s="12" t="str">
        <f>IF(DevMode!A5="","Unused",DevMode!A5)</f>
        <v>Delta</v>
      </c>
      <c r="B10" s="70">
        <f>IF($A$10="Unused",0,COUNTIFS('Available Bodies'!$A:$A, B6, 'Available Bodies'!$F:$F,DevMode!$B$5))</f>
        <v>0</v>
      </c>
      <c r="C10" s="138">
        <f>IF($A$10="Unused",0,COUNTIFS('Available Bodies'!$A:$A, C6, 'Available Bodies'!$F:$F,DevMode!$B$5))</f>
        <v>0</v>
      </c>
      <c r="D10" s="138">
        <f>IF($A$10="Unused",0,COUNTIFS('Available Bodies'!$A:$A, D6, 'Available Bodies'!$F:$F,DevMode!$B$5))</f>
        <v>0</v>
      </c>
      <c r="E10" s="138">
        <f>IF($A$10="Unused",0,COUNTIFS('Available Bodies'!$A:$A, E6, 'Available Bodies'!$F:$F,DevMode!$B$5))</f>
        <v>0</v>
      </c>
      <c r="F10" s="138">
        <f>IF($A$10="Unused",0,COUNTIFS('Available Bodies'!$A:$A, F6, 'Available Bodies'!$F:$F,DevMode!$B$5))</f>
        <v>0</v>
      </c>
      <c r="G10" s="138">
        <f>IF($A$10="Unused",0,COUNTIFS('Available Bodies'!$A:$A, G6, 'Available Bodies'!$F:$F,DevMode!$B$5))</f>
        <v>0</v>
      </c>
      <c r="H10" s="138">
        <f>IF($A$10="Unused",0,COUNTIFS('Available Bodies'!$A:$A, H6, 'Available Bodies'!$F:$F,DevMode!$B$5))</f>
        <v>0</v>
      </c>
      <c r="I10" s="138">
        <f>IF($A$10="Unused",0,COUNTIFS('Available Bodies'!$A:$A, I6, 'Available Bodies'!$F:$F,DevMode!$B$5))</f>
        <v>0</v>
      </c>
      <c r="J10" s="138">
        <f>IF($A$10="Unused",0,COUNTIFS('Available Bodies'!$A:$A, J6, 'Available Bodies'!$F:$F,DevMode!$B$5))</f>
        <v>0</v>
      </c>
      <c r="K10" s="138">
        <f>IF($A$10="Unused",0,COUNTIFS('Available Bodies'!$A:$A, K6, 'Available Bodies'!$F:$F,DevMode!$B$5))</f>
        <v>0</v>
      </c>
      <c r="L10" s="138">
        <f>IF($A$10="Unused",0,COUNTIFS('Available Bodies'!$A:$A, L6, 'Available Bodies'!$F:$F,DevMode!$B$5))</f>
        <v>0</v>
      </c>
      <c r="M10" s="138">
        <f>IF($A$10="Unused",0,COUNTIFS('Available Bodies'!$A:$A, M6, 'Available Bodies'!$F:$F,DevMode!$B$5))</f>
        <v>0</v>
      </c>
      <c r="N10" s="138">
        <f>IF($A$10="Unused",0,COUNTIFS('Available Bodies'!$A:$A, N6, 'Available Bodies'!$F:$F,DevMode!$B$5))</f>
        <v>0</v>
      </c>
      <c r="O10" s="138">
        <f>IF($A$10="Unused",0,COUNTIFS('Available Bodies'!$A:$A, O6, 'Available Bodies'!$F:$F,DevMode!$B$5))</f>
        <v>0</v>
      </c>
      <c r="P10" s="138">
        <f>IF($A$10="Unused",0,COUNTIFS('Available Bodies'!$A:$A, P6, 'Available Bodies'!$F:$F,DevMode!$B$5))</f>
        <v>0</v>
      </c>
      <c r="Q10" s="138">
        <f>IF($A$10="Unused",0,COUNTIFS('Available Bodies'!$A:$A, Q6, 'Available Bodies'!$F:$F,DevMode!$B$5))</f>
        <v>0</v>
      </c>
      <c r="R10" s="138">
        <f>IF($A$10="Unused",0,COUNTIFS('Available Bodies'!$A:$A, R6, 'Available Bodies'!$F:$F,DevMode!$B$5))</f>
        <v>0</v>
      </c>
      <c r="S10" s="138">
        <f>IF($A$10="Unused",0,COUNTIFS('Available Bodies'!$A:$A, S6, 'Available Bodies'!$F:$F,DevMode!$B$5))</f>
        <v>0</v>
      </c>
      <c r="T10" s="138">
        <f>IF($A$10="Unused",0,COUNTIFS('Available Bodies'!$A:$A, T6, 'Available Bodies'!$F:$F,DevMode!$B$5))</f>
        <v>0</v>
      </c>
      <c r="U10" s="138">
        <f>IF($A$10="Unused",0,COUNTIFS('Available Bodies'!$A:$A, U6, 'Available Bodies'!$F:$F,DevMode!$B$5))</f>
        <v>0</v>
      </c>
      <c r="V10" s="138">
        <f>IF($A$10="Unused",0,COUNTIFS('Available Bodies'!$A:$A, V6, 'Available Bodies'!$F:$F,DevMode!$B$5))</f>
        <v>0</v>
      </c>
      <c r="W10" s="138">
        <f>IF($A$10="Unused",0,COUNTIFS('Available Bodies'!$A:$A, W6, 'Available Bodies'!$F:$F,DevMode!$B$5))</f>
        <v>0</v>
      </c>
      <c r="X10" s="138">
        <f>IF($A$10="Unused",0,COUNTIFS('Available Bodies'!$A:$A, X6, 'Available Bodies'!$F:$F,DevMode!$B$5))</f>
        <v>0</v>
      </c>
      <c r="Y10" s="138">
        <f>IF($A$10="Unused",0,COUNTIFS('Available Bodies'!$A:$A, Y6, 'Available Bodies'!$F:$F,DevMode!$B$5))</f>
        <v>0</v>
      </c>
      <c r="Z10" s="138">
        <f>IF($A$10="Unused",0,COUNTIFS('Available Bodies'!$A:$A, Z6, 'Available Bodies'!$F:$F,DevMode!$B$5))</f>
        <v>0</v>
      </c>
      <c r="AA10" s="71">
        <f>IF($A$10="Unused",0,COUNTIFS('Available Bodies'!$A:$A, AA6, 'Available Bodies'!$F:$F,DevMode!$B$5))</f>
        <v>0</v>
      </c>
      <c r="AB10" s="109">
        <f t="shared" si="0"/>
        <v>0</v>
      </c>
      <c r="AD10" s="219" t="s">
        <v>53</v>
      </c>
      <c r="AE10" s="217" t="s">
        <v>55</v>
      </c>
      <c r="AF10" s="223" t="s">
        <v>54</v>
      </c>
      <c r="AG10" s="217" t="s">
        <v>51</v>
      </c>
      <c r="AH10" s="221" t="s">
        <v>56</v>
      </c>
      <c r="AJ10" s="2">
        <f>$AB$13</f>
        <v>0</v>
      </c>
      <c r="AK10" s="2" t="str">
        <f>IF(DevMode!A8="","Unused",DevMode!A8)</f>
        <v>SVC</v>
      </c>
    </row>
    <row r="11" spans="1:37" ht="15.75" thickBot="1" x14ac:dyDescent="0.3">
      <c r="A11" s="13" t="str">
        <f>IF(DevMode!A6="","Unused",DevMode!A6)</f>
        <v>GS</v>
      </c>
      <c r="B11" s="72">
        <f>IF($A$11="Unused",0,COUNTIFS('Available Bodies'!$A:$A, B6, 'Available Bodies'!$F:$F,DevMode!$B$6))</f>
        <v>0</v>
      </c>
      <c r="C11" s="139">
        <f>IF($A$11="Unused",0,COUNTIFS('Available Bodies'!$A:$A, C6, 'Available Bodies'!$F:$F,DevMode!$B$6))</f>
        <v>0</v>
      </c>
      <c r="D11" s="139">
        <f>IF($A$11="Unused",0,COUNTIFS('Available Bodies'!$A:$A, D6, 'Available Bodies'!$F:$F,DevMode!$B$6))</f>
        <v>0</v>
      </c>
      <c r="E11" s="139">
        <f>IF($A$11="Unused",0,COUNTIFS('Available Bodies'!$A:$A, E6, 'Available Bodies'!$F:$F,DevMode!$B$6))</f>
        <v>0</v>
      </c>
      <c r="F11" s="139">
        <f>IF($A$11="Unused",0,COUNTIFS('Available Bodies'!$A:$A, F6, 'Available Bodies'!$F:$F,DevMode!$B$6))</f>
        <v>0</v>
      </c>
      <c r="G11" s="139">
        <f>IF($A$11="Unused",0,COUNTIFS('Available Bodies'!$A:$A, G6, 'Available Bodies'!$F:$F,DevMode!$B$6))</f>
        <v>0</v>
      </c>
      <c r="H11" s="139">
        <f>IF($A$11="Unused",0,COUNTIFS('Available Bodies'!$A:$A, H6, 'Available Bodies'!$F:$F,DevMode!$B$6))</f>
        <v>0</v>
      </c>
      <c r="I11" s="139">
        <f>IF($A$11="Unused",0,COUNTIFS('Available Bodies'!$A:$A, I6, 'Available Bodies'!$F:$F,DevMode!$B$6))</f>
        <v>0</v>
      </c>
      <c r="J11" s="139">
        <f>IF($A$11="Unused",0,COUNTIFS('Available Bodies'!$A:$A, J6, 'Available Bodies'!$F:$F,DevMode!$B$6))</f>
        <v>0</v>
      </c>
      <c r="K11" s="139">
        <f>IF($A$11="Unused",0,COUNTIFS('Available Bodies'!$A:$A, K6, 'Available Bodies'!$F:$F,DevMode!$B$6))</f>
        <v>0</v>
      </c>
      <c r="L11" s="139">
        <f>IF($A$11="Unused",0,COUNTIFS('Available Bodies'!$A:$A, L6, 'Available Bodies'!$F:$F,DevMode!$B$6))</f>
        <v>0</v>
      </c>
      <c r="M11" s="139">
        <f>IF($A$11="Unused",0,COUNTIFS('Available Bodies'!$A:$A, M6, 'Available Bodies'!$F:$F,DevMode!$B$6))</f>
        <v>0</v>
      </c>
      <c r="N11" s="139">
        <f>IF($A$11="Unused",0,COUNTIFS('Available Bodies'!$A:$A, N6, 'Available Bodies'!$F:$F,DevMode!$B$6))</f>
        <v>0</v>
      </c>
      <c r="O11" s="139">
        <f>IF($A$11="Unused",0,COUNTIFS('Available Bodies'!$A:$A, O6, 'Available Bodies'!$F:$F,DevMode!$B$6))</f>
        <v>0</v>
      </c>
      <c r="P11" s="139">
        <f>IF($A$11="Unused",0,COUNTIFS('Available Bodies'!$A:$A, P6, 'Available Bodies'!$F:$F,DevMode!$B$6))</f>
        <v>0</v>
      </c>
      <c r="Q11" s="139">
        <f>IF($A$11="Unused",0,COUNTIFS('Available Bodies'!$A:$A, Q6, 'Available Bodies'!$F:$F,DevMode!$B$6))</f>
        <v>0</v>
      </c>
      <c r="R11" s="139">
        <f>IF($A$11="Unused",0,COUNTIFS('Available Bodies'!$A:$A, R6, 'Available Bodies'!$F:$F,DevMode!$B$6))</f>
        <v>0</v>
      </c>
      <c r="S11" s="139">
        <f>IF($A$11="Unused",0,COUNTIFS('Available Bodies'!$A:$A, S6, 'Available Bodies'!$F:$F,DevMode!$B$6))</f>
        <v>0</v>
      </c>
      <c r="T11" s="139">
        <f>IF($A$11="Unused",0,COUNTIFS('Available Bodies'!$A:$A, T6, 'Available Bodies'!$F:$F,DevMode!$B$6))</f>
        <v>0</v>
      </c>
      <c r="U11" s="139">
        <f>IF($A$11="Unused",0,COUNTIFS('Available Bodies'!$A:$A, U6, 'Available Bodies'!$F:$F,DevMode!$B$6))</f>
        <v>0</v>
      </c>
      <c r="V11" s="139">
        <f>IF($A$11="Unused",0,COUNTIFS('Available Bodies'!$A:$A, V6, 'Available Bodies'!$F:$F,DevMode!$B$6))</f>
        <v>0</v>
      </c>
      <c r="W11" s="139">
        <f>IF($A$11="Unused",0,COUNTIFS('Available Bodies'!$A:$A, W6, 'Available Bodies'!$F:$F,DevMode!$B$6))</f>
        <v>0</v>
      </c>
      <c r="X11" s="139">
        <f>IF($A$11="Unused",0,COUNTIFS('Available Bodies'!$A:$A, X6, 'Available Bodies'!$F:$F,DevMode!$B$6))</f>
        <v>0</v>
      </c>
      <c r="Y11" s="139">
        <f>IF($A$11="Unused",0,COUNTIFS('Available Bodies'!$A:$A, Y6, 'Available Bodies'!$F:$F,DevMode!$B$6))</f>
        <v>0</v>
      </c>
      <c r="Z11" s="139">
        <f>IF($A$11="Unused",0,COUNTIFS('Available Bodies'!$A:$A, Z6, 'Available Bodies'!$F:$F,DevMode!$B$6))</f>
        <v>0</v>
      </c>
      <c r="AA11" s="73">
        <f>IF($A$11="Unused",0,COUNTIFS('Available Bodies'!$A:$A, AA6, 'Available Bodies'!$F:$F,DevMode!$B$6))</f>
        <v>0</v>
      </c>
      <c r="AB11" s="109">
        <f t="shared" si="0"/>
        <v>0</v>
      </c>
      <c r="AD11" s="220"/>
      <c r="AE11" s="218"/>
      <c r="AF11" s="224"/>
      <c r="AG11" s="218"/>
      <c r="AH11" s="222"/>
    </row>
    <row r="12" spans="1:37" ht="15.75" thickBot="1" x14ac:dyDescent="0.3">
      <c r="A12" s="14" t="str">
        <f>IF(DevMode!A7="","Unused",DevMode!A7)</f>
        <v>HQ</v>
      </c>
      <c r="B12" s="74">
        <f>IF($A$12="Unused",0,COUNTIFS('Available Bodies'!$A:$A, B6, 'Available Bodies'!$F:$F,DevMode!$B$7))</f>
        <v>0</v>
      </c>
      <c r="C12" s="140">
        <f>IF($A$12="Unused",0,COUNTIFS('Available Bodies'!$A:$A, C6, 'Available Bodies'!$F:$F,DevMode!$B$7))</f>
        <v>0</v>
      </c>
      <c r="D12" s="140">
        <f>IF($A$12="Unused",0,COUNTIFS('Available Bodies'!$A:$A, D6, 'Available Bodies'!$F:$F,DevMode!$B$7))</f>
        <v>0</v>
      </c>
      <c r="E12" s="140">
        <f>IF($A$12="Unused",0,COUNTIFS('Available Bodies'!$A:$A, E6, 'Available Bodies'!$F:$F,DevMode!$B$7))</f>
        <v>0</v>
      </c>
      <c r="F12" s="140">
        <f>IF($A$12="Unused",0,COUNTIFS('Available Bodies'!$A:$A, F6, 'Available Bodies'!$F:$F,DevMode!$B$7))</f>
        <v>0</v>
      </c>
      <c r="G12" s="140">
        <f>IF($A$12="Unused",0,COUNTIFS('Available Bodies'!$A:$A, G6, 'Available Bodies'!$F:$F,DevMode!$B$7))</f>
        <v>0</v>
      </c>
      <c r="H12" s="140">
        <f>IF($A$12="Unused",0,COUNTIFS('Available Bodies'!$A:$A, H6, 'Available Bodies'!$F:$F,DevMode!$B$7))</f>
        <v>0</v>
      </c>
      <c r="I12" s="140">
        <f>IF($A$12="Unused",0,COUNTIFS('Available Bodies'!$A:$A, I6, 'Available Bodies'!$F:$F,DevMode!$B$7))</f>
        <v>0</v>
      </c>
      <c r="J12" s="140">
        <f>IF($A$12="Unused",0,COUNTIFS('Available Bodies'!$A:$A, J6, 'Available Bodies'!$F:$F,DevMode!$B$7))</f>
        <v>0</v>
      </c>
      <c r="K12" s="140">
        <f>IF($A$12="Unused",0,COUNTIFS('Available Bodies'!$A:$A, K6, 'Available Bodies'!$F:$F,DevMode!$B$7))</f>
        <v>0</v>
      </c>
      <c r="L12" s="140">
        <f>IF($A$12="Unused",0,COUNTIFS('Available Bodies'!$A:$A, L6, 'Available Bodies'!$F:$F,DevMode!$B$7))</f>
        <v>0</v>
      </c>
      <c r="M12" s="140">
        <f>IF($A$12="Unused",0,COUNTIFS('Available Bodies'!$A:$A, M6, 'Available Bodies'!$F:$F,DevMode!$B$7))</f>
        <v>0</v>
      </c>
      <c r="N12" s="140">
        <f>IF($A$12="Unused",0,COUNTIFS('Available Bodies'!$A:$A, N6, 'Available Bodies'!$F:$F,DevMode!$B$7))</f>
        <v>0</v>
      </c>
      <c r="O12" s="140">
        <f>IF($A$12="Unused",0,COUNTIFS('Available Bodies'!$A:$A, O6, 'Available Bodies'!$F:$F,DevMode!$B$7))</f>
        <v>0</v>
      </c>
      <c r="P12" s="140">
        <f>IF($A$12="Unused",0,COUNTIFS('Available Bodies'!$A:$A, P6, 'Available Bodies'!$F:$F,DevMode!$B$7))</f>
        <v>0</v>
      </c>
      <c r="Q12" s="140">
        <f>IF($A$12="Unused",0,COUNTIFS('Available Bodies'!$A:$A, Q6, 'Available Bodies'!$F:$F,DevMode!$B$7))</f>
        <v>0</v>
      </c>
      <c r="R12" s="140">
        <f>IF($A$12="Unused",0,COUNTIFS('Available Bodies'!$A:$A, R6, 'Available Bodies'!$F:$F,DevMode!$B$7))</f>
        <v>0</v>
      </c>
      <c r="S12" s="140">
        <f>IF($A$12="Unused",0,COUNTIFS('Available Bodies'!$A:$A, S6, 'Available Bodies'!$F:$F,DevMode!$B$7))</f>
        <v>0</v>
      </c>
      <c r="T12" s="140">
        <f>IF($A$12="Unused",0,COUNTIFS('Available Bodies'!$A:$A, T6, 'Available Bodies'!$F:$F,DevMode!$B$7))</f>
        <v>0</v>
      </c>
      <c r="U12" s="140">
        <f>IF($A$12="Unused",0,COUNTIFS('Available Bodies'!$A:$A, U6, 'Available Bodies'!$F:$F,DevMode!$B$7))</f>
        <v>0</v>
      </c>
      <c r="V12" s="140">
        <f>IF($A$12="Unused",0,COUNTIFS('Available Bodies'!$A:$A, V6, 'Available Bodies'!$F:$F,DevMode!$B$7))</f>
        <v>0</v>
      </c>
      <c r="W12" s="140">
        <f>IF($A$12="Unused",0,COUNTIFS('Available Bodies'!$A:$A, W6, 'Available Bodies'!$F:$F,DevMode!$B$7))</f>
        <v>0</v>
      </c>
      <c r="X12" s="140">
        <f>IF($A$12="Unused",0,COUNTIFS('Available Bodies'!$A:$A, X6, 'Available Bodies'!$F:$F,DevMode!$B$7))</f>
        <v>0</v>
      </c>
      <c r="Y12" s="140">
        <f>IF($A$12="Unused",0,COUNTIFS('Available Bodies'!$A:$A, Y6, 'Available Bodies'!$F:$F,DevMode!$B$7))</f>
        <v>0</v>
      </c>
      <c r="Z12" s="140">
        <f>IF($A$12="Unused",0,COUNTIFS('Available Bodies'!$A:$A, Z6, 'Available Bodies'!$F:$F,DevMode!$B$7))</f>
        <v>0</v>
      </c>
      <c r="AA12" s="75">
        <f>IF($A$12="Unused",0,COUNTIFS('Available Bodies'!$A:$A, AA6, 'Available Bodies'!$F:$F,DevMode!$B$7))</f>
        <v>0</v>
      </c>
      <c r="AB12" s="109">
        <f t="shared" si="0"/>
        <v>0</v>
      </c>
      <c r="AD12" s="15" t="str">
        <f>IF(DevMode!A2="","Unused",DevMode!A2)</f>
        <v>Alpha</v>
      </c>
      <c r="AE12" s="16">
        <f t="shared" ref="AE12:AE18" ca="1" si="1">IFERROR(IF(AH12="",SUM(T19/AB7),SUM(AH12/AB7)),0)</f>
        <v>0</v>
      </c>
      <c r="AF12" s="17">
        <f>IF(AD12="Unused",0,DAY(End)*9)</f>
        <v>279</v>
      </c>
      <c r="AG12" s="18">
        <f t="shared" ref="AG12:AG18" ca="1" si="2">IFERROR(IF(AH12="",SUM(T19/AF12),SUM(AH12/AF12)),0)</f>
        <v>0</v>
      </c>
      <c r="AH12" s="79"/>
    </row>
    <row r="13" spans="1:37" ht="15.75" thickBot="1" x14ac:dyDescent="0.3">
      <c r="A13" s="19" t="str">
        <f>IF(DevMode!A8="","Unused",DevMode!A8)</f>
        <v>SVC</v>
      </c>
      <c r="B13" s="76">
        <f>IF($A$13="Unused",0,COUNTIFS('Available Bodies'!$A:$A, B6, 'Available Bodies'!$F:$F,DevMode!$B$8))</f>
        <v>0</v>
      </c>
      <c r="C13" s="142">
        <f>IF($A$13="Unused",0,COUNTIFS('Available Bodies'!$A:$A, C6, 'Available Bodies'!$F:$F,DevMode!$B$8))</f>
        <v>0</v>
      </c>
      <c r="D13" s="142">
        <f>IF($A$13="Unused",0,COUNTIFS('Available Bodies'!$A:$A, D6, 'Available Bodies'!$F:$F,DevMode!$B$8))</f>
        <v>0</v>
      </c>
      <c r="E13" s="142">
        <f>IF($A$13="Unused",0,COUNTIFS('Available Bodies'!$A:$A, E6, 'Available Bodies'!$F:$F,DevMode!$B$8))</f>
        <v>0</v>
      </c>
      <c r="F13" s="142">
        <f>IF($A$13="Unused",0,COUNTIFS('Available Bodies'!$A:$A, F6, 'Available Bodies'!$F:$F,DevMode!$B$8))</f>
        <v>0</v>
      </c>
      <c r="G13" s="142">
        <f>IF($A$13="Unused",0,COUNTIFS('Available Bodies'!$A:$A, G6, 'Available Bodies'!$F:$F,DevMode!$B$8))</f>
        <v>0</v>
      </c>
      <c r="H13" s="142">
        <f>IF($A$13="Unused",0,COUNTIFS('Available Bodies'!$A:$A, H6, 'Available Bodies'!$F:$F,DevMode!$B$8))</f>
        <v>0</v>
      </c>
      <c r="I13" s="142">
        <f>IF($A$13="Unused",0,COUNTIFS('Available Bodies'!$A:$A, I6, 'Available Bodies'!$F:$F,DevMode!$B$8))</f>
        <v>0</v>
      </c>
      <c r="J13" s="142">
        <f>IF($A$13="Unused",0,COUNTIFS('Available Bodies'!$A:$A, J6, 'Available Bodies'!$F:$F,DevMode!$B$8))</f>
        <v>0</v>
      </c>
      <c r="K13" s="142">
        <f>IF($A$13="Unused",0,COUNTIFS('Available Bodies'!$A:$A, K6, 'Available Bodies'!$F:$F,DevMode!$B$8))</f>
        <v>0</v>
      </c>
      <c r="L13" s="142">
        <f>IF($A$13="Unused",0,COUNTIFS('Available Bodies'!$A:$A, L6, 'Available Bodies'!$F:$F,DevMode!$B$8))</f>
        <v>0</v>
      </c>
      <c r="M13" s="142">
        <f>IF($A$13="Unused",0,COUNTIFS('Available Bodies'!$A:$A, M6, 'Available Bodies'!$F:$F,DevMode!$B$8))</f>
        <v>0</v>
      </c>
      <c r="N13" s="142">
        <f>IF($A$13="Unused",0,COUNTIFS('Available Bodies'!$A:$A, N6, 'Available Bodies'!$F:$F,DevMode!$B$8))</f>
        <v>0</v>
      </c>
      <c r="O13" s="142">
        <f>IF($A$13="Unused",0,COUNTIFS('Available Bodies'!$A:$A, O6, 'Available Bodies'!$F:$F,DevMode!$B$8))</f>
        <v>0</v>
      </c>
      <c r="P13" s="142">
        <f>IF($A$13="Unused",0,COUNTIFS('Available Bodies'!$A:$A, P6, 'Available Bodies'!$F:$F,DevMode!$B$8))</f>
        <v>0</v>
      </c>
      <c r="Q13" s="142">
        <f>IF($A$13="Unused",0,COUNTIFS('Available Bodies'!$A:$A, Q6, 'Available Bodies'!$F:$F,DevMode!$B$8))</f>
        <v>0</v>
      </c>
      <c r="R13" s="142">
        <f>IF($A$13="Unused",0,COUNTIFS('Available Bodies'!$A:$A, R6, 'Available Bodies'!$F:$F,DevMode!$B$8))</f>
        <v>0</v>
      </c>
      <c r="S13" s="142">
        <f>IF($A$13="Unused",0,COUNTIFS('Available Bodies'!$A:$A, S6, 'Available Bodies'!$F:$F,DevMode!$B$8))</f>
        <v>0</v>
      </c>
      <c r="T13" s="142">
        <f>IF($A$13="Unused",0,COUNTIFS('Available Bodies'!$A:$A, T6, 'Available Bodies'!$F:$F,DevMode!$B$8))</f>
        <v>0</v>
      </c>
      <c r="U13" s="142">
        <f>IF($A$13="Unused",0,COUNTIFS('Available Bodies'!$A:$A, U6, 'Available Bodies'!$F:$F,DevMode!$B$8))</f>
        <v>0</v>
      </c>
      <c r="V13" s="142">
        <f>IF($A$13="Unused",0,COUNTIFS('Available Bodies'!$A:$A, V6, 'Available Bodies'!$F:$F,DevMode!$B$8))</f>
        <v>0</v>
      </c>
      <c r="W13" s="142">
        <f>IF($A$13="Unused",0,COUNTIFS('Available Bodies'!$A:$A, W6, 'Available Bodies'!$F:$F,DevMode!$B$8))</f>
        <v>0</v>
      </c>
      <c r="X13" s="142">
        <f>IF($A$13="Unused",0,COUNTIFS('Available Bodies'!$A:$A, X6, 'Available Bodies'!$F:$F,DevMode!$B$8))</f>
        <v>0</v>
      </c>
      <c r="Y13" s="142">
        <f>IF($A$13="Unused",0,COUNTIFS('Available Bodies'!$A:$A, Y6, 'Available Bodies'!$F:$F,DevMode!$B$8))</f>
        <v>0</v>
      </c>
      <c r="Z13" s="142">
        <f>IF($A$13="Unused",0,COUNTIFS('Available Bodies'!$A:$A, Z6, 'Available Bodies'!$F:$F,DevMode!$B$8))</f>
        <v>0</v>
      </c>
      <c r="AA13" s="77">
        <f>IF($A$13="Unused",0,COUNTIFS('Available Bodies'!$A:$A, AA6, 'Available Bodies'!$F:$F,DevMode!$B$8))</f>
        <v>0</v>
      </c>
      <c r="AB13" s="110">
        <f t="shared" si="0"/>
        <v>0</v>
      </c>
      <c r="AD13" s="20" t="str">
        <f>IF(DevMode!A3="","Unused",DevMode!A3)</f>
        <v>Bravo</v>
      </c>
      <c r="AE13" s="21">
        <f t="shared" ca="1" si="1"/>
        <v>0</v>
      </c>
      <c r="AF13" s="22">
        <f>IF(AD13="Unused",0,DAY(End)*7)</f>
        <v>217</v>
      </c>
      <c r="AG13" s="23">
        <f t="shared" ca="1" si="2"/>
        <v>0</v>
      </c>
      <c r="AH13" s="80"/>
    </row>
    <row r="14" spans="1:37" ht="15.75" thickBot="1" x14ac:dyDescent="0.3">
      <c r="A14" s="24" t="s">
        <v>30</v>
      </c>
      <c r="B14" s="105">
        <f>SUM(B7:B13)</f>
        <v>0</v>
      </c>
      <c r="C14" s="106">
        <f t="shared" ref="C14:AB14" si="3">SUM(C7:C13)</f>
        <v>0</v>
      </c>
      <c r="D14" s="106">
        <f t="shared" si="3"/>
        <v>0</v>
      </c>
      <c r="E14" s="106">
        <f t="shared" si="3"/>
        <v>0</v>
      </c>
      <c r="F14" s="106">
        <f t="shared" si="3"/>
        <v>0</v>
      </c>
      <c r="G14" s="106">
        <f t="shared" si="3"/>
        <v>0</v>
      </c>
      <c r="H14" s="106">
        <f t="shared" si="3"/>
        <v>0</v>
      </c>
      <c r="I14" s="106">
        <f t="shared" si="3"/>
        <v>0</v>
      </c>
      <c r="J14" s="106">
        <f t="shared" si="3"/>
        <v>0</v>
      </c>
      <c r="K14" s="106">
        <f t="shared" si="3"/>
        <v>0</v>
      </c>
      <c r="L14" s="106">
        <f t="shared" si="3"/>
        <v>0</v>
      </c>
      <c r="M14" s="106">
        <f t="shared" si="3"/>
        <v>0</v>
      </c>
      <c r="N14" s="106">
        <f t="shared" si="3"/>
        <v>0</v>
      </c>
      <c r="O14" s="106">
        <f t="shared" si="3"/>
        <v>0</v>
      </c>
      <c r="P14" s="106">
        <f t="shared" si="3"/>
        <v>0</v>
      </c>
      <c r="Q14" s="106">
        <f t="shared" si="3"/>
        <v>0</v>
      </c>
      <c r="R14" s="106">
        <f t="shared" si="3"/>
        <v>0</v>
      </c>
      <c r="S14" s="106">
        <f t="shared" si="3"/>
        <v>0</v>
      </c>
      <c r="T14" s="106">
        <f t="shared" si="3"/>
        <v>0</v>
      </c>
      <c r="U14" s="106">
        <f t="shared" si="3"/>
        <v>0</v>
      </c>
      <c r="V14" s="106">
        <f t="shared" si="3"/>
        <v>0</v>
      </c>
      <c r="W14" s="106">
        <f t="shared" si="3"/>
        <v>0</v>
      </c>
      <c r="X14" s="106">
        <f t="shared" si="3"/>
        <v>0</v>
      </c>
      <c r="Y14" s="106">
        <f t="shared" si="3"/>
        <v>0</v>
      </c>
      <c r="Z14" s="106">
        <f t="shared" si="3"/>
        <v>0</v>
      </c>
      <c r="AA14" s="107">
        <f t="shared" si="3"/>
        <v>0</v>
      </c>
      <c r="AB14" s="25">
        <f t="shared" si="3"/>
        <v>0</v>
      </c>
      <c r="AD14" s="26" t="str">
        <f>IF(DevMode!A4="","Unused",DevMode!A4)</f>
        <v>Charlie</v>
      </c>
      <c r="AE14" s="27">
        <f t="shared" ca="1" si="1"/>
        <v>0</v>
      </c>
      <c r="AF14" s="28">
        <f>IF(AD14="Unused",0,DAY(End)*7)</f>
        <v>217</v>
      </c>
      <c r="AG14" s="29">
        <f t="shared" ca="1" si="2"/>
        <v>0</v>
      </c>
      <c r="AH14" s="81"/>
    </row>
    <row r="15" spans="1:37" ht="15.75" thickBot="1" x14ac:dyDescent="0.3">
      <c r="A15" s="100"/>
      <c r="B15" s="99"/>
      <c r="C15" s="99"/>
      <c r="D15" s="99"/>
      <c r="E15" s="99"/>
      <c r="F15" s="99"/>
      <c r="G15" s="99"/>
      <c r="H15" s="99"/>
      <c r="I15" s="99"/>
      <c r="J15" s="99"/>
      <c r="K15" s="99"/>
      <c r="L15" s="99"/>
      <c r="M15" s="99"/>
      <c r="N15" s="99"/>
      <c r="O15" s="99"/>
      <c r="P15" s="99"/>
      <c r="Q15" s="99"/>
      <c r="R15" s="99"/>
      <c r="S15" s="99"/>
      <c r="T15" s="99"/>
      <c r="U15" s="99"/>
      <c r="V15" s="99"/>
      <c r="W15" s="99"/>
      <c r="X15" s="99"/>
      <c r="Y15" s="99"/>
      <c r="Z15" s="99"/>
      <c r="AA15" s="99"/>
      <c r="AB15" s="99"/>
      <c r="AD15" s="31" t="str">
        <f>IF(DevMode!A5="","Unused",DevMode!A5)</f>
        <v>Delta</v>
      </c>
      <c r="AE15" s="32">
        <f t="shared" ca="1" si="1"/>
        <v>0</v>
      </c>
      <c r="AF15" s="33">
        <f>IF(AD15="Unused",0,DAY(End)*3)</f>
        <v>93</v>
      </c>
      <c r="AG15" s="34">
        <f t="shared" ca="1" si="2"/>
        <v>0</v>
      </c>
      <c r="AH15" s="82"/>
      <c r="AJ15" s="30"/>
      <c r="AK15" s="30"/>
    </row>
    <row r="16" spans="1:37" x14ac:dyDescent="0.25">
      <c r="A16" s="200" t="s">
        <v>80</v>
      </c>
      <c r="B16" s="201"/>
      <c r="C16" s="201"/>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2"/>
      <c r="AD16" s="35" t="str">
        <f>IF(DevMode!A6="","Unused",DevMode!A6)</f>
        <v>GS</v>
      </c>
      <c r="AE16" s="36">
        <f t="shared" ca="1" si="1"/>
        <v>0</v>
      </c>
      <c r="AF16" s="37">
        <f>IF(AD16="Unused",0,DAY(End)*9)</f>
        <v>279</v>
      </c>
      <c r="AG16" s="38">
        <f t="shared" ca="1" si="2"/>
        <v>0</v>
      </c>
      <c r="AH16" s="83"/>
    </row>
    <row r="17" spans="1:35" ht="15.75" thickBot="1" x14ac:dyDescent="0.3">
      <c r="A17" s="203"/>
      <c r="B17" s="204"/>
      <c r="C17" s="204"/>
      <c r="D17" s="204"/>
      <c r="E17" s="204"/>
      <c r="F17" s="204"/>
      <c r="G17" s="204"/>
      <c r="H17" s="204"/>
      <c r="I17" s="204"/>
      <c r="J17" s="204"/>
      <c r="K17" s="204"/>
      <c r="L17" s="204"/>
      <c r="M17" s="204"/>
      <c r="N17" s="204"/>
      <c r="O17" s="204"/>
      <c r="P17" s="204"/>
      <c r="Q17" s="204"/>
      <c r="R17" s="204"/>
      <c r="S17" s="204"/>
      <c r="T17" s="205"/>
      <c r="U17" s="204"/>
      <c r="V17" s="204"/>
      <c r="W17" s="204"/>
      <c r="X17" s="204"/>
      <c r="Y17" s="204"/>
      <c r="Z17" s="204"/>
      <c r="AA17" s="204"/>
      <c r="AB17" s="206"/>
      <c r="AD17" s="39" t="str">
        <f>IF(DevMode!A7="","Unused",DevMode!A7)</f>
        <v>HQ</v>
      </c>
      <c r="AE17" s="40">
        <f t="shared" ca="1" si="1"/>
        <v>0</v>
      </c>
      <c r="AF17" s="41">
        <f>IF(AD17="Unused",0,DAY(End)*9)</f>
        <v>279</v>
      </c>
      <c r="AG17" s="42">
        <f t="shared" ca="1" si="2"/>
        <v>0</v>
      </c>
      <c r="AH17" s="84"/>
    </row>
    <row r="18" spans="1:35" ht="15.75" thickBot="1" x14ac:dyDescent="0.3">
      <c r="A18" s="43"/>
      <c r="B18" s="188" t="str">
        <f>IF(DevMode!D2="","Unused",DevMode!D2)</f>
        <v>OOD</v>
      </c>
      <c r="C18" s="189"/>
      <c r="D18" s="188" t="str">
        <f>IF(DevMode!D3="","Unused",DevMode!D3)</f>
        <v>AOOD</v>
      </c>
      <c r="E18" s="189"/>
      <c r="F18" s="188" t="str">
        <f>IF(DevMode!D4="","Unused",DevMode!D4)</f>
        <v>Duty Driver</v>
      </c>
      <c r="G18" s="189"/>
      <c r="H18" s="188" t="str">
        <f>IF(DevMode!D5="","Unused",DevMode!D5)</f>
        <v>DNCO (FC-370)</v>
      </c>
      <c r="I18" s="189"/>
      <c r="J18" s="188" t="str">
        <f>IF(DevMode!D6="","Unused",DevMode!D6)</f>
        <v>ADNCO (FC-370)</v>
      </c>
      <c r="K18" s="189"/>
      <c r="L18" s="188" t="str">
        <f>IF(DevMode!D7="","Unused",DevMode!D7)</f>
        <v>Rovers (FC-370)</v>
      </c>
      <c r="M18" s="189"/>
      <c r="N18" s="188" t="str">
        <f>IF(DevMode!D8="","Unused",DevMode!D8)</f>
        <v>DNCO (FC-481)</v>
      </c>
      <c r="O18" s="189"/>
      <c r="P18" s="188" t="str">
        <f>IF(DevMode!D9="","Unused",DevMode!D9)</f>
        <v>ADNCO (FC-481)</v>
      </c>
      <c r="Q18" s="189"/>
      <c r="R18" s="188" t="str">
        <f>IF(DevMode!D10="","Unused",DevMode!D10)</f>
        <v>Rovers (FC-481)</v>
      </c>
      <c r="S18" s="207"/>
      <c r="T18" s="44" t="s">
        <v>52</v>
      </c>
      <c r="U18" s="208" t="s">
        <v>91</v>
      </c>
      <c r="V18" s="209"/>
      <c r="W18" s="209"/>
      <c r="X18" s="209"/>
      <c r="Y18" s="209"/>
      <c r="Z18" s="209"/>
      <c r="AA18" s="209"/>
      <c r="AB18" s="210"/>
      <c r="AD18" s="45" t="str">
        <f>IF(DevMode!A8="","Unused",DevMode!A8)</f>
        <v>SVC</v>
      </c>
      <c r="AE18" s="46">
        <f t="shared" ca="1" si="1"/>
        <v>0</v>
      </c>
      <c r="AF18" s="47">
        <f>IF(AD18="Unused",0,DAY(End)*9)</f>
        <v>279</v>
      </c>
      <c r="AG18" s="48">
        <f t="shared" ca="1" si="2"/>
        <v>0</v>
      </c>
      <c r="AH18" s="85"/>
    </row>
    <row r="19" spans="1:35" ht="15.75" thickBot="1" x14ac:dyDescent="0.3">
      <c r="A19" s="8" t="str">
        <f>IF(DevMode!A2="","Unused",DevMode!A2)</f>
        <v>Alpha</v>
      </c>
      <c r="B19" s="49">
        <f>B29</f>
        <v>0</v>
      </c>
      <c r="C19" s="50">
        <f t="shared" ref="C19:C25" ca="1" si="4">IFERROR(IF(A19=$B$37, IF($C$36="High", C29-1,IF($C$36="Low", C29+1,C29)), C29),0)</f>
        <v>0</v>
      </c>
      <c r="D19" s="49">
        <f>D29</f>
        <v>0</v>
      </c>
      <c r="E19" s="50">
        <f t="shared" ref="E19:E25" ca="1" si="5">IFERROR(IF(A19=$D$37, IF($E$36="High", E29-1,IF($E$36="Low", E29+1,E29)), E29),0)</f>
        <v>0</v>
      </c>
      <c r="F19" s="49">
        <f>F29</f>
        <v>0</v>
      </c>
      <c r="G19" s="50">
        <f t="shared" ref="G19:G25" ca="1" si="6">IFERROR(IF(A19=$F$37, IF($G$36="High", G29-1,IF($G$36="Low", G29+1,G29)), G29),0)</f>
        <v>0</v>
      </c>
      <c r="H19" s="49">
        <f>H29</f>
        <v>0</v>
      </c>
      <c r="I19" s="50">
        <f t="shared" ref="I19:I25" ca="1" si="7">IFERROR(IF(A19=$H$37, IF($I$36="High", I29-1,IF($I$36="Low", I29+1,I29)), I29),0)</f>
        <v>0</v>
      </c>
      <c r="J19" s="49">
        <f>J29</f>
        <v>0</v>
      </c>
      <c r="K19" s="50">
        <f t="shared" ref="K19:K25" ca="1" si="8">IFERROR(IF(A19=$J$37, IF($K$36="High", K29-1,IF($K$36="Low", K29+1,K29)), K29),0)</f>
        <v>0</v>
      </c>
      <c r="L19" s="49">
        <f>L29</f>
        <v>0</v>
      </c>
      <c r="M19" s="50">
        <f t="shared" ref="M19:M25" ca="1" si="9">IFERROR(IF(A19=$L$37, IF($M$36="High", M29-1,IF($M$36="Low", M29+1,M29)), M29),0)</f>
        <v>0</v>
      </c>
      <c r="N19" s="49">
        <f>N29</f>
        <v>0</v>
      </c>
      <c r="O19" s="50">
        <f t="shared" ref="O19:O25" ca="1" si="10">IFERROR(IF(A19=$N$37, IF($O$36="High", O29-1,IF($O$36="Low", O29+1,O29)), O29),0)</f>
        <v>0</v>
      </c>
      <c r="P19" s="49">
        <f>P29</f>
        <v>0</v>
      </c>
      <c r="Q19" s="50">
        <f t="shared" ref="Q19:Q25" ca="1" si="11">IFERROR(IF(A19=$P$37, IF($Q$36="High", Q29-1,IF($Q$36="Low", Q29+1,Q29)), Q29),0)</f>
        <v>0</v>
      </c>
      <c r="R19" s="49">
        <f>R29</f>
        <v>0</v>
      </c>
      <c r="S19" s="50">
        <f t="shared" ref="S19:S25" ca="1" si="12">IFERROR(IF(A19=$R$37, IF($S$36="High", S29-1,IF($S$36="Low", S29+1,S29)), S29),0)</f>
        <v>0</v>
      </c>
      <c r="T19" s="113">
        <f t="shared" ref="T19:T25" ca="1" si="13">IF(AH12="",SUM(C19,E19,G19,I19,K19,M19,O19,Q19,S19),AH12)</f>
        <v>0</v>
      </c>
      <c r="U19" s="211"/>
      <c r="V19" s="212"/>
      <c r="W19" s="212"/>
      <c r="X19" s="212"/>
      <c r="Y19" s="212"/>
      <c r="Z19" s="212"/>
      <c r="AA19" s="212"/>
      <c r="AB19" s="213"/>
    </row>
    <row r="20" spans="1:35" ht="15.75" thickBot="1" x14ac:dyDescent="0.3">
      <c r="A20" s="10" t="str">
        <f>IF(DevMode!A3="","Unused",DevMode!A3)</f>
        <v>Bravo</v>
      </c>
      <c r="B20" s="51">
        <f t="shared" ref="B20:B25" si="14">B30</f>
        <v>0</v>
      </c>
      <c r="C20" s="52">
        <f t="shared" ca="1" si="4"/>
        <v>0</v>
      </c>
      <c r="D20" s="51">
        <f t="shared" ref="D20:D25" si="15">D30</f>
        <v>0</v>
      </c>
      <c r="E20" s="52">
        <f t="shared" ca="1" si="5"/>
        <v>0</v>
      </c>
      <c r="F20" s="51">
        <f t="shared" ref="F20:F25" si="16">F30</f>
        <v>0</v>
      </c>
      <c r="G20" s="52">
        <f t="shared" ca="1" si="6"/>
        <v>0</v>
      </c>
      <c r="H20" s="51">
        <f t="shared" ref="H20:H25" si="17">H30</f>
        <v>0</v>
      </c>
      <c r="I20" s="52">
        <f t="shared" ca="1" si="7"/>
        <v>0</v>
      </c>
      <c r="J20" s="51">
        <f t="shared" ref="J20:J25" si="18">J30</f>
        <v>0</v>
      </c>
      <c r="K20" s="52">
        <f t="shared" ca="1" si="8"/>
        <v>0</v>
      </c>
      <c r="L20" s="51">
        <f t="shared" ref="L20:L25" si="19">L30</f>
        <v>0</v>
      </c>
      <c r="M20" s="52">
        <f t="shared" ca="1" si="9"/>
        <v>0</v>
      </c>
      <c r="N20" s="51">
        <f t="shared" ref="N20:N25" si="20">N30</f>
        <v>0</v>
      </c>
      <c r="O20" s="52">
        <f t="shared" ca="1" si="10"/>
        <v>0</v>
      </c>
      <c r="P20" s="51">
        <f t="shared" ref="P20:P25" si="21">P30</f>
        <v>0</v>
      </c>
      <c r="Q20" s="52">
        <f t="shared" ca="1" si="11"/>
        <v>0</v>
      </c>
      <c r="R20" s="51">
        <f t="shared" ref="R20:R25" si="22">R30</f>
        <v>0</v>
      </c>
      <c r="S20" s="52">
        <f t="shared" ca="1" si="12"/>
        <v>0</v>
      </c>
      <c r="T20" s="109">
        <f t="shared" ca="1" si="13"/>
        <v>0</v>
      </c>
      <c r="U20" s="211"/>
      <c r="V20" s="212"/>
      <c r="W20" s="212"/>
      <c r="X20" s="212"/>
      <c r="Y20" s="212"/>
      <c r="Z20" s="212"/>
      <c r="AA20" s="212"/>
      <c r="AB20" s="213"/>
    </row>
    <row r="21" spans="1:35" ht="15.75" thickBot="1" x14ac:dyDescent="0.3">
      <c r="A21" s="11" t="str">
        <f>IF(DevMode!A4="","Unused",DevMode!A4)</f>
        <v>Charlie</v>
      </c>
      <c r="B21" s="53">
        <f t="shared" si="14"/>
        <v>0</v>
      </c>
      <c r="C21" s="54">
        <f t="shared" ca="1" si="4"/>
        <v>0</v>
      </c>
      <c r="D21" s="53">
        <f t="shared" si="15"/>
        <v>0</v>
      </c>
      <c r="E21" s="54">
        <f t="shared" ca="1" si="5"/>
        <v>0</v>
      </c>
      <c r="F21" s="53">
        <f t="shared" si="16"/>
        <v>0</v>
      </c>
      <c r="G21" s="54">
        <f t="shared" ca="1" si="6"/>
        <v>0</v>
      </c>
      <c r="H21" s="53">
        <f t="shared" si="17"/>
        <v>0</v>
      </c>
      <c r="I21" s="54">
        <f t="shared" ca="1" si="7"/>
        <v>0</v>
      </c>
      <c r="J21" s="53">
        <f t="shared" si="18"/>
        <v>0</v>
      </c>
      <c r="K21" s="54">
        <f t="shared" ca="1" si="8"/>
        <v>0</v>
      </c>
      <c r="L21" s="53">
        <f t="shared" si="19"/>
        <v>0</v>
      </c>
      <c r="M21" s="54">
        <f t="shared" ca="1" si="9"/>
        <v>0</v>
      </c>
      <c r="N21" s="53">
        <f t="shared" si="20"/>
        <v>0</v>
      </c>
      <c r="O21" s="54">
        <f t="shared" ca="1" si="10"/>
        <v>0</v>
      </c>
      <c r="P21" s="53">
        <f t="shared" si="21"/>
        <v>0</v>
      </c>
      <c r="Q21" s="54">
        <f t="shared" ca="1" si="11"/>
        <v>0</v>
      </c>
      <c r="R21" s="53">
        <f t="shared" si="22"/>
        <v>0</v>
      </c>
      <c r="S21" s="54">
        <f t="shared" ca="1" si="12"/>
        <v>0</v>
      </c>
      <c r="T21" s="109">
        <f t="shared" ca="1" si="13"/>
        <v>0</v>
      </c>
      <c r="U21" s="211"/>
      <c r="V21" s="212"/>
      <c r="W21" s="212"/>
      <c r="X21" s="212"/>
      <c r="Y21" s="212"/>
      <c r="Z21" s="212"/>
      <c r="AA21" s="212"/>
      <c r="AB21" s="213"/>
    </row>
    <row r="22" spans="1:35" ht="15.75" thickBot="1" x14ac:dyDescent="0.3">
      <c r="A22" s="12" t="str">
        <f>IF(DevMode!A5="","Unused",DevMode!A5)</f>
        <v>Delta</v>
      </c>
      <c r="B22" s="55">
        <f t="shared" si="14"/>
        <v>0</v>
      </c>
      <c r="C22" s="56">
        <f t="shared" ca="1" si="4"/>
        <v>0</v>
      </c>
      <c r="D22" s="55">
        <f t="shared" si="15"/>
        <v>0</v>
      </c>
      <c r="E22" s="56">
        <f t="shared" ca="1" si="5"/>
        <v>0</v>
      </c>
      <c r="F22" s="55">
        <f t="shared" si="16"/>
        <v>0</v>
      </c>
      <c r="G22" s="56">
        <f t="shared" ca="1" si="6"/>
        <v>0</v>
      </c>
      <c r="H22" s="55">
        <f t="shared" si="17"/>
        <v>0</v>
      </c>
      <c r="I22" s="56">
        <f t="shared" ca="1" si="7"/>
        <v>0</v>
      </c>
      <c r="J22" s="55">
        <f t="shared" si="18"/>
        <v>0</v>
      </c>
      <c r="K22" s="56">
        <f t="shared" ca="1" si="8"/>
        <v>0</v>
      </c>
      <c r="L22" s="55">
        <f t="shared" si="19"/>
        <v>0</v>
      </c>
      <c r="M22" s="56">
        <f t="shared" ca="1" si="9"/>
        <v>0</v>
      </c>
      <c r="N22" s="55">
        <f t="shared" si="20"/>
        <v>0</v>
      </c>
      <c r="O22" s="56">
        <f t="shared" ca="1" si="10"/>
        <v>0</v>
      </c>
      <c r="P22" s="55">
        <f t="shared" si="21"/>
        <v>0</v>
      </c>
      <c r="Q22" s="56">
        <f t="shared" ca="1" si="11"/>
        <v>0</v>
      </c>
      <c r="R22" s="55">
        <f t="shared" si="22"/>
        <v>0</v>
      </c>
      <c r="S22" s="56">
        <f t="shared" ca="1" si="12"/>
        <v>0</v>
      </c>
      <c r="T22" s="109">
        <f t="shared" ca="1" si="13"/>
        <v>0</v>
      </c>
      <c r="U22" s="211"/>
      <c r="V22" s="212"/>
      <c r="W22" s="212"/>
      <c r="X22" s="212"/>
      <c r="Y22" s="212"/>
      <c r="Z22" s="212"/>
      <c r="AA22" s="212"/>
      <c r="AB22" s="213"/>
    </row>
    <row r="23" spans="1:35" ht="15.75" thickBot="1" x14ac:dyDescent="0.3">
      <c r="A23" s="13" t="str">
        <f>IF(DevMode!A6="","Unused",DevMode!A6)</f>
        <v>GS</v>
      </c>
      <c r="B23" s="57">
        <f t="shared" si="14"/>
        <v>0</v>
      </c>
      <c r="C23" s="58">
        <f t="shared" ca="1" si="4"/>
        <v>0</v>
      </c>
      <c r="D23" s="57">
        <f t="shared" si="15"/>
        <v>0</v>
      </c>
      <c r="E23" s="58">
        <f t="shared" ca="1" si="5"/>
        <v>0</v>
      </c>
      <c r="F23" s="57">
        <f t="shared" si="16"/>
        <v>0</v>
      </c>
      <c r="G23" s="58">
        <f t="shared" ca="1" si="6"/>
        <v>0</v>
      </c>
      <c r="H23" s="57">
        <f t="shared" si="17"/>
        <v>0</v>
      </c>
      <c r="I23" s="58">
        <f t="shared" ca="1" si="7"/>
        <v>0</v>
      </c>
      <c r="J23" s="57">
        <f t="shared" si="18"/>
        <v>0</v>
      </c>
      <c r="K23" s="58">
        <f t="shared" ca="1" si="8"/>
        <v>0</v>
      </c>
      <c r="L23" s="57">
        <f t="shared" si="19"/>
        <v>0</v>
      </c>
      <c r="M23" s="58">
        <f t="shared" ca="1" si="9"/>
        <v>0</v>
      </c>
      <c r="N23" s="57">
        <f t="shared" si="20"/>
        <v>0</v>
      </c>
      <c r="O23" s="58">
        <f t="shared" ca="1" si="10"/>
        <v>0</v>
      </c>
      <c r="P23" s="57">
        <f t="shared" si="21"/>
        <v>0</v>
      </c>
      <c r="Q23" s="58">
        <f t="shared" ca="1" si="11"/>
        <v>0</v>
      </c>
      <c r="R23" s="57">
        <f t="shared" si="22"/>
        <v>0</v>
      </c>
      <c r="S23" s="58">
        <f t="shared" ca="1" si="12"/>
        <v>0</v>
      </c>
      <c r="T23" s="109">
        <f t="shared" ca="1" si="13"/>
        <v>0</v>
      </c>
      <c r="U23" s="211"/>
      <c r="V23" s="212"/>
      <c r="W23" s="212"/>
      <c r="X23" s="212"/>
      <c r="Y23" s="212"/>
      <c r="Z23" s="212"/>
      <c r="AA23" s="212"/>
      <c r="AB23" s="213"/>
    </row>
    <row r="24" spans="1:35" ht="15.75" thickBot="1" x14ac:dyDescent="0.3">
      <c r="A24" s="14" t="str">
        <f>IF(DevMode!A7="","Unused",DevMode!A7)</f>
        <v>HQ</v>
      </c>
      <c r="B24" s="59">
        <f t="shared" si="14"/>
        <v>0</v>
      </c>
      <c r="C24" s="60">
        <f t="shared" ca="1" si="4"/>
        <v>0</v>
      </c>
      <c r="D24" s="59">
        <f t="shared" si="15"/>
        <v>0</v>
      </c>
      <c r="E24" s="60">
        <f t="shared" ca="1" si="5"/>
        <v>0</v>
      </c>
      <c r="F24" s="59">
        <f t="shared" si="16"/>
        <v>0</v>
      </c>
      <c r="G24" s="60">
        <f t="shared" ca="1" si="6"/>
        <v>0</v>
      </c>
      <c r="H24" s="59">
        <f t="shared" si="17"/>
        <v>0</v>
      </c>
      <c r="I24" s="60">
        <f t="shared" ca="1" si="7"/>
        <v>0</v>
      </c>
      <c r="J24" s="59">
        <f t="shared" si="18"/>
        <v>0</v>
      </c>
      <c r="K24" s="60">
        <f t="shared" ca="1" si="8"/>
        <v>0</v>
      </c>
      <c r="L24" s="59">
        <f t="shared" si="19"/>
        <v>0</v>
      </c>
      <c r="M24" s="60">
        <f t="shared" ca="1" si="9"/>
        <v>0</v>
      </c>
      <c r="N24" s="59">
        <f t="shared" si="20"/>
        <v>0</v>
      </c>
      <c r="O24" s="60">
        <f t="shared" ca="1" si="10"/>
        <v>0</v>
      </c>
      <c r="P24" s="59">
        <f t="shared" si="21"/>
        <v>0</v>
      </c>
      <c r="Q24" s="60">
        <f t="shared" ca="1" si="11"/>
        <v>0</v>
      </c>
      <c r="R24" s="59">
        <f t="shared" si="22"/>
        <v>0</v>
      </c>
      <c r="S24" s="60">
        <f t="shared" ca="1" si="12"/>
        <v>0</v>
      </c>
      <c r="T24" s="109">
        <f t="shared" ca="1" si="13"/>
        <v>0</v>
      </c>
      <c r="U24" s="211"/>
      <c r="V24" s="212"/>
      <c r="W24" s="212"/>
      <c r="X24" s="212"/>
      <c r="Y24" s="212"/>
      <c r="Z24" s="212"/>
      <c r="AA24" s="212"/>
      <c r="AB24" s="213"/>
    </row>
    <row r="25" spans="1:35" ht="15.75" thickBot="1" x14ac:dyDescent="0.3">
      <c r="A25" s="19" t="str">
        <f>IF(DevMode!A8="","Unused",DevMode!A8)</f>
        <v>SVC</v>
      </c>
      <c r="B25" s="61">
        <f t="shared" si="14"/>
        <v>0</v>
      </c>
      <c r="C25" s="62">
        <f t="shared" ca="1" si="4"/>
        <v>0</v>
      </c>
      <c r="D25" s="61">
        <f t="shared" si="15"/>
        <v>0</v>
      </c>
      <c r="E25" s="62">
        <f t="shared" ca="1" si="5"/>
        <v>0</v>
      </c>
      <c r="F25" s="61">
        <f t="shared" si="16"/>
        <v>0</v>
      </c>
      <c r="G25" s="62">
        <f t="shared" ca="1" si="6"/>
        <v>0</v>
      </c>
      <c r="H25" s="61">
        <f t="shared" si="17"/>
        <v>0</v>
      </c>
      <c r="I25" s="62">
        <f t="shared" ca="1" si="7"/>
        <v>0</v>
      </c>
      <c r="J25" s="61">
        <f t="shared" si="18"/>
        <v>0</v>
      </c>
      <c r="K25" s="62">
        <f t="shared" ca="1" si="8"/>
        <v>0</v>
      </c>
      <c r="L25" s="61">
        <f t="shared" si="19"/>
        <v>0</v>
      </c>
      <c r="M25" s="62">
        <f t="shared" ca="1" si="9"/>
        <v>0</v>
      </c>
      <c r="N25" s="61">
        <f t="shared" si="20"/>
        <v>0</v>
      </c>
      <c r="O25" s="62">
        <f t="shared" ca="1" si="10"/>
        <v>0</v>
      </c>
      <c r="P25" s="61">
        <f t="shared" si="21"/>
        <v>0</v>
      </c>
      <c r="Q25" s="62">
        <f t="shared" ca="1" si="11"/>
        <v>0</v>
      </c>
      <c r="R25" s="61">
        <f t="shared" si="22"/>
        <v>0</v>
      </c>
      <c r="S25" s="62">
        <f t="shared" ca="1" si="12"/>
        <v>0</v>
      </c>
      <c r="T25" s="110">
        <f t="shared" ca="1" si="13"/>
        <v>0</v>
      </c>
      <c r="U25" s="211"/>
      <c r="V25" s="212"/>
      <c r="W25" s="212"/>
      <c r="X25" s="212"/>
      <c r="Y25" s="212"/>
      <c r="Z25" s="212"/>
      <c r="AA25" s="212"/>
      <c r="AB25" s="213"/>
    </row>
    <row r="26" spans="1:35" ht="15.75" thickBot="1" x14ac:dyDescent="0.3">
      <c r="A26" s="24" t="s">
        <v>30</v>
      </c>
      <c r="B26" s="111">
        <f>B36</f>
        <v>0</v>
      </c>
      <c r="C26" s="112">
        <f ca="1">SUM(C19:C25)</f>
        <v>0</v>
      </c>
      <c r="D26" s="111">
        <f t="shared" ref="D26:R26" si="23">D36</f>
        <v>0</v>
      </c>
      <c r="E26" s="112">
        <f ca="1">SUM(E19:E25)</f>
        <v>0</v>
      </c>
      <c r="F26" s="111">
        <f t="shared" si="23"/>
        <v>0</v>
      </c>
      <c r="G26" s="112">
        <f ca="1">SUM(G19:G25)</f>
        <v>0</v>
      </c>
      <c r="H26" s="111">
        <f t="shared" si="23"/>
        <v>0</v>
      </c>
      <c r="I26" s="112">
        <f ca="1">SUM(I19:I25)</f>
        <v>0</v>
      </c>
      <c r="J26" s="111">
        <f t="shared" si="23"/>
        <v>0</v>
      </c>
      <c r="K26" s="112">
        <f ca="1">SUM(K19:K25)</f>
        <v>0</v>
      </c>
      <c r="L26" s="111">
        <f t="shared" si="23"/>
        <v>0</v>
      </c>
      <c r="M26" s="112">
        <f ca="1">SUM(M19:M25)</f>
        <v>0</v>
      </c>
      <c r="N26" s="111">
        <f t="shared" si="23"/>
        <v>0</v>
      </c>
      <c r="O26" s="112">
        <f ca="1">SUM(O19:O25)</f>
        <v>0</v>
      </c>
      <c r="P26" s="111">
        <f t="shared" si="23"/>
        <v>0</v>
      </c>
      <c r="Q26" s="112">
        <f ca="1">SUM(Q19:Q25)</f>
        <v>0</v>
      </c>
      <c r="R26" s="111">
        <f t="shared" si="23"/>
        <v>0</v>
      </c>
      <c r="S26" s="107">
        <f ca="1">SUM(S19:S25)</f>
        <v>0</v>
      </c>
      <c r="T26" s="25">
        <f ca="1">SUM(T19:T25)</f>
        <v>0</v>
      </c>
      <c r="U26" s="214"/>
      <c r="V26" s="215"/>
      <c r="W26" s="215"/>
      <c r="X26" s="215"/>
      <c r="Y26" s="215"/>
      <c r="Z26" s="215"/>
      <c r="AA26" s="215"/>
      <c r="AB26" s="216"/>
    </row>
    <row r="28" spans="1:35" ht="15.75" hidden="1" thickBot="1" x14ac:dyDescent="0.3">
      <c r="A28" s="43"/>
      <c r="B28" s="188" t="str">
        <f>IF(DevMode!D2="","Unused",DevMode!D2)</f>
        <v>OOD</v>
      </c>
      <c r="C28" s="189"/>
      <c r="D28" s="188" t="str">
        <f>IF(DevMode!D3="","Unused",DevMode!D3)</f>
        <v>AOOD</v>
      </c>
      <c r="E28" s="189"/>
      <c r="F28" s="188" t="str">
        <f>IF(DevMode!D4="","Unused",DevMode!D4)</f>
        <v>Duty Driver</v>
      </c>
      <c r="G28" s="189"/>
      <c r="H28" s="188" t="str">
        <f>IF(DevMode!D5="","Unused",DevMode!D5)</f>
        <v>DNCO (FC-370)</v>
      </c>
      <c r="I28" s="189"/>
      <c r="J28" s="188" t="str">
        <f>IF(DevMode!D6="","Unused",DevMode!D6)</f>
        <v>ADNCO (FC-370)</v>
      </c>
      <c r="K28" s="189"/>
      <c r="L28" s="188" t="str">
        <f>IF(DevMode!D7="","Unused",DevMode!D7)</f>
        <v>Rovers (FC-370)</v>
      </c>
      <c r="M28" s="189"/>
      <c r="N28" s="188" t="str">
        <f>IF(DevMode!D8="","Unused",DevMode!D8)</f>
        <v>DNCO (FC-481)</v>
      </c>
      <c r="O28" s="189"/>
      <c r="P28" s="188" t="str">
        <f>IF(DevMode!D9="","Unused",DevMode!D9)</f>
        <v>ADNCO (FC-481)</v>
      </c>
      <c r="Q28" s="189"/>
      <c r="R28" s="188" t="str">
        <f>IF(DevMode!D10="","Unused",DevMode!D10)</f>
        <v>Rovers (FC-481)</v>
      </c>
      <c r="S28" s="189"/>
      <c r="T28" s="63"/>
      <c r="U28" s="63"/>
      <c r="V28" s="63"/>
      <c r="W28" s="63"/>
      <c r="X28" s="63"/>
      <c r="Y28" s="63"/>
      <c r="Z28" s="63"/>
      <c r="AA28" s="2"/>
      <c r="AB28" s="2"/>
      <c r="AC28" s="2"/>
      <c r="AD28" s="2"/>
      <c r="AE28" s="2"/>
      <c r="AF28" s="2"/>
      <c r="AG28" s="2"/>
      <c r="AH28" s="2"/>
      <c r="AI28" s="2"/>
    </row>
    <row r="29" spans="1:35" ht="15.75" hidden="1" thickBot="1" x14ac:dyDescent="0.3">
      <c r="A29" s="8" t="str">
        <f>IF(DevMode!A2="","Unused",DevMode!A2)</f>
        <v>Alpha</v>
      </c>
      <c r="B29" s="9">
        <f t="shared" ref="B29:B35" si="24">SUM(G7,H7,M7,N7,R7,S7)</f>
        <v>0</v>
      </c>
      <c r="C29" s="64" t="e">
        <f t="shared" ref="C29:C35" si="25">ROUND(SUM($B$38*B29)/100,0)</f>
        <v>#DIV/0!</v>
      </c>
      <c r="D29" s="9">
        <f t="shared" ref="D29:D35" si="26">SUM(B7,C7,D7,E7,F7)</f>
        <v>0</v>
      </c>
      <c r="E29" s="64" t="e">
        <f t="shared" ref="E29:E35" si="27">ROUND(SUM($D$38*D29)/100,0)</f>
        <v>#DIV/0!</v>
      </c>
      <c r="F29" s="9">
        <f t="shared" ref="F29:F35" si="28">SUM(B7,C7,D7,E7,F7)</f>
        <v>0</v>
      </c>
      <c r="G29" s="64" t="e">
        <f t="shared" ref="G29:G35" si="29">ROUND(SUM($F$38*F29)/100,0)</f>
        <v>#DIV/0!</v>
      </c>
      <c r="H29" s="9">
        <f>SUM(E7,F7)</f>
        <v>0</v>
      </c>
      <c r="I29" s="64" t="e">
        <f t="shared" ref="I29:I35" si="30">ROUND(SUM($H$38*H29)/100,0)</f>
        <v>#DIV/0!</v>
      </c>
      <c r="J29" s="9">
        <f>SUM(B7,C7,D7,E7,F7)</f>
        <v>0</v>
      </c>
      <c r="K29" s="64" t="e">
        <f t="shared" ref="K29:K35" si="31">ROUND(SUM($J$38*J29)/100,0)</f>
        <v>#DIV/0!</v>
      </c>
      <c r="L29" s="9">
        <f>SUM(B7,C7,D7,E7)</f>
        <v>0</v>
      </c>
      <c r="M29" s="64" t="e">
        <f t="shared" ref="M29:M35" si="32">ROUND(SUM($L$38*L29)/100,0)</f>
        <v>#DIV/0!</v>
      </c>
      <c r="N29" s="9">
        <f>IF(SUM(E7,F7)&gt;=0,0,0)</f>
        <v>0</v>
      </c>
      <c r="O29" s="64" t="e">
        <f t="shared" ref="O29:O35" si="33">ROUND(SUM($N$38*N29)/100,0)</f>
        <v>#DIV/0!</v>
      </c>
      <c r="P29" s="9">
        <f>IF(SUM(B7,C7,D7,E7,F7)&gt;=0,0,0)</f>
        <v>0</v>
      </c>
      <c r="Q29" s="64" t="e">
        <f t="shared" ref="Q29:Q35" si="34">ROUND(SUM($P$38*P29)/100,0)</f>
        <v>#DIV/0!</v>
      </c>
      <c r="R29" s="9">
        <f>IF(SUM(B7,C7,D7,E7)&gt;=0,0,0)</f>
        <v>0</v>
      </c>
      <c r="S29" s="64" t="e">
        <f t="shared" ref="S29:S35" si="35">ROUND(SUM($R$38*R29)/100,0)</f>
        <v>#DIV/0!</v>
      </c>
      <c r="T29" s="65"/>
      <c r="U29" s="63"/>
      <c r="V29" s="63"/>
      <c r="W29" s="63"/>
      <c r="X29" s="63"/>
      <c r="Y29" s="63"/>
      <c r="Z29" s="63"/>
      <c r="AA29" s="2"/>
      <c r="AB29" s="2"/>
      <c r="AC29" s="2"/>
      <c r="AD29" s="2"/>
      <c r="AE29" s="2"/>
      <c r="AF29" s="2"/>
      <c r="AG29" s="2"/>
      <c r="AH29" s="2"/>
      <c r="AI29" s="2"/>
    </row>
    <row r="30" spans="1:35" ht="15.75" hidden="1" thickBot="1" x14ac:dyDescent="0.3">
      <c r="A30" s="10" t="str">
        <f>IF(DevMode!A3="","Unused",DevMode!A3)</f>
        <v>Bravo</v>
      </c>
      <c r="B30" s="66">
        <f t="shared" si="24"/>
        <v>0</v>
      </c>
      <c r="C30" s="67" t="e">
        <f t="shared" si="25"/>
        <v>#DIV/0!</v>
      </c>
      <c r="D30" s="66">
        <f t="shared" si="26"/>
        <v>0</v>
      </c>
      <c r="E30" s="67" t="e">
        <f t="shared" si="27"/>
        <v>#DIV/0!</v>
      </c>
      <c r="F30" s="66">
        <f t="shared" si="28"/>
        <v>0</v>
      </c>
      <c r="G30" s="67" t="e">
        <f t="shared" si="29"/>
        <v>#DIV/0!</v>
      </c>
      <c r="H30" s="66">
        <f>IF(SUM(E8,F8)&gt;=0,0,0)</f>
        <v>0</v>
      </c>
      <c r="I30" s="67" t="e">
        <f t="shared" si="30"/>
        <v>#DIV/0!</v>
      </c>
      <c r="J30" s="66">
        <f>IF(SUM(B8,C8,D8,E8,F8)&gt;=0,0,0)</f>
        <v>0</v>
      </c>
      <c r="K30" s="67" t="e">
        <f t="shared" si="31"/>
        <v>#DIV/0!</v>
      </c>
      <c r="L30" s="66">
        <f>IF(SUM(B8,C8,D8,E8)&gt;=0,0,0)</f>
        <v>0</v>
      </c>
      <c r="M30" s="67" t="e">
        <f t="shared" si="32"/>
        <v>#DIV/0!</v>
      </c>
      <c r="N30" s="66">
        <f>SUM(E8,F8)</f>
        <v>0</v>
      </c>
      <c r="O30" s="67" t="e">
        <f t="shared" si="33"/>
        <v>#DIV/0!</v>
      </c>
      <c r="P30" s="66">
        <f>SUM(B8,C8,D8,E8,F8)</f>
        <v>0</v>
      </c>
      <c r="Q30" s="67" t="e">
        <f t="shared" si="34"/>
        <v>#DIV/0!</v>
      </c>
      <c r="R30" s="66">
        <f>SUM(B8,C8,D8,E8)</f>
        <v>0</v>
      </c>
      <c r="S30" s="67" t="e">
        <f t="shared" si="35"/>
        <v>#DIV/0!</v>
      </c>
      <c r="T30" s="4"/>
      <c r="U30" s="63"/>
      <c r="V30" s="65"/>
      <c r="W30" s="63"/>
      <c r="X30" s="63"/>
      <c r="Y30" s="63"/>
      <c r="Z30" s="63"/>
      <c r="AA30" s="2"/>
      <c r="AB30" s="63"/>
      <c r="AC30" s="2"/>
      <c r="AD30" s="2"/>
      <c r="AE30" s="2"/>
      <c r="AF30" s="2"/>
      <c r="AG30" s="2"/>
      <c r="AH30" s="2"/>
      <c r="AI30" s="2"/>
    </row>
    <row r="31" spans="1:35" ht="15.75" hidden="1" thickBot="1" x14ac:dyDescent="0.3">
      <c r="A31" s="11" t="str">
        <f>IF(DevMode!A4="","Unused",DevMode!A4)</f>
        <v>Charlie</v>
      </c>
      <c r="B31" s="68">
        <f t="shared" si="24"/>
        <v>0</v>
      </c>
      <c r="C31" s="69" t="e">
        <f t="shared" si="25"/>
        <v>#DIV/0!</v>
      </c>
      <c r="D31" s="68">
        <f t="shared" si="26"/>
        <v>0</v>
      </c>
      <c r="E31" s="69" t="e">
        <f t="shared" si="27"/>
        <v>#DIV/0!</v>
      </c>
      <c r="F31" s="68">
        <f t="shared" si="28"/>
        <v>0</v>
      </c>
      <c r="G31" s="69" t="e">
        <f t="shared" si="29"/>
        <v>#DIV/0!</v>
      </c>
      <c r="H31" s="68">
        <f>IF(SUM(E9,F9)&gt;=0,0,0)</f>
        <v>0</v>
      </c>
      <c r="I31" s="69" t="e">
        <f t="shared" si="30"/>
        <v>#DIV/0!</v>
      </c>
      <c r="J31" s="68">
        <f>IF(SUM(B9,C9,D9,E9,F9)&gt;=0,0,0)</f>
        <v>0</v>
      </c>
      <c r="K31" s="69" t="e">
        <f t="shared" si="31"/>
        <v>#DIV/0!</v>
      </c>
      <c r="L31" s="68">
        <f>IF(SUM(B9,C9,D9,E9)&gt;=0,0,0)</f>
        <v>0</v>
      </c>
      <c r="M31" s="69" t="e">
        <f t="shared" si="32"/>
        <v>#DIV/0!</v>
      </c>
      <c r="N31" s="68">
        <f>SUM(E9,F9)</f>
        <v>0</v>
      </c>
      <c r="O31" s="69" t="e">
        <f t="shared" si="33"/>
        <v>#DIV/0!</v>
      </c>
      <c r="P31" s="68">
        <f>SUM(B9,C9,D9,E9,F9)</f>
        <v>0</v>
      </c>
      <c r="Q31" s="69" t="e">
        <f t="shared" si="34"/>
        <v>#DIV/0!</v>
      </c>
      <c r="R31" s="68">
        <f>SUM(B9,C9,D9,E9)</f>
        <v>0</v>
      </c>
      <c r="S31" s="69" t="e">
        <f t="shared" si="35"/>
        <v>#DIV/0!</v>
      </c>
      <c r="T31" s="4"/>
      <c r="U31" s="63"/>
      <c r="V31" s="65"/>
      <c r="W31" s="63"/>
      <c r="X31" s="63"/>
      <c r="Y31" s="63"/>
      <c r="Z31" s="63"/>
      <c r="AA31" s="2"/>
      <c r="AB31" s="63"/>
      <c r="AC31" s="2"/>
      <c r="AD31" s="2"/>
      <c r="AE31" s="2"/>
      <c r="AF31" s="2"/>
      <c r="AG31" s="2"/>
      <c r="AH31" s="2"/>
      <c r="AI31" s="2"/>
    </row>
    <row r="32" spans="1:35" ht="15.75" hidden="1" thickBot="1" x14ac:dyDescent="0.3">
      <c r="A32" s="12" t="str">
        <f>IF(DevMode!A5="","Unused",DevMode!A5)</f>
        <v>Delta</v>
      </c>
      <c r="B32" s="70">
        <f t="shared" si="24"/>
        <v>0</v>
      </c>
      <c r="C32" s="71" t="e">
        <f t="shared" si="25"/>
        <v>#DIV/0!</v>
      </c>
      <c r="D32" s="70">
        <f t="shared" si="26"/>
        <v>0</v>
      </c>
      <c r="E32" s="71" t="e">
        <f t="shared" si="27"/>
        <v>#DIV/0!</v>
      </c>
      <c r="F32" s="70">
        <f t="shared" si="28"/>
        <v>0</v>
      </c>
      <c r="G32" s="71" t="e">
        <f t="shared" si="29"/>
        <v>#DIV/0!</v>
      </c>
      <c r="H32" s="70">
        <f>IF(SUM(E10,F10)&gt;=0, 0,0)</f>
        <v>0</v>
      </c>
      <c r="I32" s="71" t="e">
        <f t="shared" si="30"/>
        <v>#DIV/0!</v>
      </c>
      <c r="J32" s="70">
        <f>IF(SUM(B10,C10,D10,E10,F10)&gt;=0,0,0)</f>
        <v>0</v>
      </c>
      <c r="K32" s="71" t="e">
        <f t="shared" si="31"/>
        <v>#DIV/0!</v>
      </c>
      <c r="L32" s="70">
        <f>IF(SUM(B10,C10,D10,E10)&gt;=0,0,0)</f>
        <v>0</v>
      </c>
      <c r="M32" s="71" t="e">
        <f t="shared" si="32"/>
        <v>#DIV/0!</v>
      </c>
      <c r="N32" s="70">
        <f>IF(SUM(E10,F10)&gt;=0,0,0)</f>
        <v>0</v>
      </c>
      <c r="O32" s="71" t="e">
        <f t="shared" si="33"/>
        <v>#DIV/0!</v>
      </c>
      <c r="P32" s="70">
        <f>IF(SUM(B10,C10,D10,E10,F10)&gt;=0,0,0)</f>
        <v>0</v>
      </c>
      <c r="Q32" s="71" t="e">
        <f t="shared" si="34"/>
        <v>#DIV/0!</v>
      </c>
      <c r="R32" s="70">
        <f>IF(SUM(B10,C10,D10,E10)&gt;=0,0,0)</f>
        <v>0</v>
      </c>
      <c r="S32" s="71" t="e">
        <f t="shared" si="35"/>
        <v>#DIV/0!</v>
      </c>
      <c r="T32" s="4"/>
      <c r="U32" s="63"/>
      <c r="V32" s="65"/>
      <c r="W32" s="63"/>
      <c r="X32" s="63"/>
      <c r="Y32" s="63"/>
      <c r="Z32" s="63"/>
      <c r="AA32" s="2"/>
      <c r="AB32" s="63"/>
      <c r="AC32" s="2"/>
      <c r="AD32" s="2"/>
      <c r="AE32" s="2"/>
      <c r="AF32" s="2"/>
      <c r="AG32" s="2"/>
      <c r="AH32" s="2"/>
      <c r="AI32" s="2"/>
    </row>
    <row r="33" spans="1:35" ht="15.75" hidden="1" thickBot="1" x14ac:dyDescent="0.3">
      <c r="A33" s="13" t="str">
        <f>IF(DevMode!A6="","Unused",DevMode!A6)</f>
        <v>GS</v>
      </c>
      <c r="B33" s="72">
        <f t="shared" si="24"/>
        <v>0</v>
      </c>
      <c r="C33" s="73" t="e">
        <f t="shared" si="25"/>
        <v>#DIV/0!</v>
      </c>
      <c r="D33" s="72">
        <f t="shared" si="26"/>
        <v>0</v>
      </c>
      <c r="E33" s="73" t="e">
        <f t="shared" si="27"/>
        <v>#DIV/0!</v>
      </c>
      <c r="F33" s="72">
        <f t="shared" si="28"/>
        <v>0</v>
      </c>
      <c r="G33" s="73" t="e">
        <f t="shared" si="29"/>
        <v>#DIV/0!</v>
      </c>
      <c r="H33" s="72">
        <f>SUM(E11,F11)</f>
        <v>0</v>
      </c>
      <c r="I33" s="73" t="e">
        <f t="shared" si="30"/>
        <v>#DIV/0!</v>
      </c>
      <c r="J33" s="72">
        <f>SUM(B11,C11,D11,E11,F11)</f>
        <v>0</v>
      </c>
      <c r="K33" s="73" t="e">
        <f t="shared" si="31"/>
        <v>#DIV/0!</v>
      </c>
      <c r="L33" s="72">
        <f>SUM(B11,C11,D11,E11)</f>
        <v>0</v>
      </c>
      <c r="M33" s="73" t="e">
        <f t="shared" si="32"/>
        <v>#DIV/0!</v>
      </c>
      <c r="N33" s="72">
        <f>IF(SUM(E11,F11)&gt;=0,0,0)</f>
        <v>0</v>
      </c>
      <c r="O33" s="73" t="e">
        <f t="shared" si="33"/>
        <v>#DIV/0!</v>
      </c>
      <c r="P33" s="72">
        <f>IF(SUM(B11,C11,D11,E11,F11)&gt;=0,0,0)</f>
        <v>0</v>
      </c>
      <c r="Q33" s="73" t="e">
        <f t="shared" si="34"/>
        <v>#DIV/0!</v>
      </c>
      <c r="R33" s="72">
        <f>IF(SUM(B11,C11,D11,E11)&gt;=0,0,0)</f>
        <v>0</v>
      </c>
      <c r="S33" s="73" t="e">
        <f t="shared" si="35"/>
        <v>#DIV/0!</v>
      </c>
      <c r="T33" s="4"/>
      <c r="U33" s="63"/>
      <c r="V33" s="65"/>
      <c r="W33" s="63"/>
      <c r="X33" s="63"/>
      <c r="Y33" s="63"/>
      <c r="Z33" s="63"/>
      <c r="AA33" s="2"/>
      <c r="AB33" s="63"/>
      <c r="AC33" s="2"/>
      <c r="AD33" s="2"/>
      <c r="AE33" s="2"/>
      <c r="AF33" s="2"/>
      <c r="AG33" s="2"/>
      <c r="AH33" s="2"/>
      <c r="AI33" s="2"/>
    </row>
    <row r="34" spans="1:35" ht="15.75" hidden="1" thickBot="1" x14ac:dyDescent="0.3">
      <c r="A34" s="14" t="str">
        <f>IF(DevMode!A7="","Unused",DevMode!A7)</f>
        <v>HQ</v>
      </c>
      <c r="B34" s="74">
        <f t="shared" si="24"/>
        <v>0</v>
      </c>
      <c r="C34" s="75" t="e">
        <f t="shared" si="25"/>
        <v>#DIV/0!</v>
      </c>
      <c r="D34" s="74">
        <f t="shared" si="26"/>
        <v>0</v>
      </c>
      <c r="E34" s="75" t="e">
        <f t="shared" si="27"/>
        <v>#DIV/0!</v>
      </c>
      <c r="F34" s="74">
        <f t="shared" si="28"/>
        <v>0</v>
      </c>
      <c r="G34" s="75" t="e">
        <f t="shared" si="29"/>
        <v>#DIV/0!</v>
      </c>
      <c r="H34" s="74">
        <f>SUM(E12,F12)</f>
        <v>0</v>
      </c>
      <c r="I34" s="75" t="e">
        <f t="shared" si="30"/>
        <v>#DIV/0!</v>
      </c>
      <c r="J34" s="74">
        <f>SUM(B12,C12,D12,E12,F12)</f>
        <v>0</v>
      </c>
      <c r="K34" s="75" t="e">
        <f t="shared" si="31"/>
        <v>#DIV/0!</v>
      </c>
      <c r="L34" s="74">
        <f>SUM(B12,C12,D12,E12)</f>
        <v>0</v>
      </c>
      <c r="M34" s="75" t="e">
        <f t="shared" si="32"/>
        <v>#DIV/0!</v>
      </c>
      <c r="N34" s="74">
        <f>IF(SUM(E12,F12)&gt;=0,0,0)</f>
        <v>0</v>
      </c>
      <c r="O34" s="75" t="e">
        <f t="shared" si="33"/>
        <v>#DIV/0!</v>
      </c>
      <c r="P34" s="74">
        <f>IF(SUM(B12,C12,D12,E12,F12)&gt;=0,0,0)</f>
        <v>0</v>
      </c>
      <c r="Q34" s="75" t="e">
        <f t="shared" si="34"/>
        <v>#DIV/0!</v>
      </c>
      <c r="R34" s="74">
        <f>IF(SUM(B12,C12,D12,E12)&gt;=0,0,0)</f>
        <v>0</v>
      </c>
      <c r="S34" s="75" t="e">
        <f t="shared" si="35"/>
        <v>#DIV/0!</v>
      </c>
      <c r="T34" s="4"/>
      <c r="U34" s="63"/>
      <c r="V34" s="65"/>
      <c r="W34" s="63"/>
      <c r="X34" s="63"/>
      <c r="Y34" s="63"/>
      <c r="Z34" s="63"/>
      <c r="AA34" s="2"/>
      <c r="AB34" s="63"/>
      <c r="AC34" s="2"/>
      <c r="AD34" s="2"/>
      <c r="AE34" s="2"/>
      <c r="AF34" s="2"/>
      <c r="AG34" s="2"/>
      <c r="AH34" s="2"/>
      <c r="AI34" s="2"/>
    </row>
    <row r="35" spans="1:35" ht="15.75" hidden="1" thickBot="1" x14ac:dyDescent="0.3">
      <c r="A35" s="19" t="str">
        <f>IF(DevMode!A8="","Unused",DevMode!A8)</f>
        <v>SVC</v>
      </c>
      <c r="B35" s="76">
        <f t="shared" si="24"/>
        <v>0</v>
      </c>
      <c r="C35" s="77" t="e">
        <f t="shared" si="25"/>
        <v>#DIV/0!</v>
      </c>
      <c r="D35" s="76">
        <f t="shared" si="26"/>
        <v>0</v>
      </c>
      <c r="E35" s="77" t="e">
        <f t="shared" si="27"/>
        <v>#DIV/0!</v>
      </c>
      <c r="F35" s="76">
        <f t="shared" si="28"/>
        <v>0</v>
      </c>
      <c r="G35" s="77" t="e">
        <f t="shared" si="29"/>
        <v>#DIV/0!</v>
      </c>
      <c r="H35" s="76">
        <f>SUM(E13,F13)</f>
        <v>0</v>
      </c>
      <c r="I35" s="77" t="e">
        <f t="shared" si="30"/>
        <v>#DIV/0!</v>
      </c>
      <c r="J35" s="76">
        <f>SUM(B13,C13,D13,E13,F13)</f>
        <v>0</v>
      </c>
      <c r="K35" s="77" t="e">
        <f t="shared" si="31"/>
        <v>#DIV/0!</v>
      </c>
      <c r="L35" s="76">
        <f>SUM(B13,C13,D13,E13)</f>
        <v>0</v>
      </c>
      <c r="M35" s="77" t="e">
        <f t="shared" si="32"/>
        <v>#DIV/0!</v>
      </c>
      <c r="N35" s="76">
        <f>IF(SUM(E13,F13)&gt;=0,0,0)</f>
        <v>0</v>
      </c>
      <c r="O35" s="77" t="e">
        <f t="shared" si="33"/>
        <v>#DIV/0!</v>
      </c>
      <c r="P35" s="76">
        <f>IF(SUM(B13,C13,D13,E13,F13)&gt;=0,0,0)</f>
        <v>0</v>
      </c>
      <c r="Q35" s="77" t="e">
        <f t="shared" si="34"/>
        <v>#DIV/0!</v>
      </c>
      <c r="R35" s="76">
        <f>IF(SUM(B13,C13,D13,E13)&gt;=0,0,0)</f>
        <v>0</v>
      </c>
      <c r="S35" s="77" t="e">
        <f t="shared" si="35"/>
        <v>#DIV/0!</v>
      </c>
      <c r="T35" s="4"/>
      <c r="U35" s="63"/>
      <c r="V35" s="65"/>
      <c r="W35" s="63"/>
      <c r="X35" s="63"/>
      <c r="Y35" s="63"/>
      <c r="Z35" s="63"/>
      <c r="AA35" s="2"/>
      <c r="AB35" s="63"/>
      <c r="AC35" s="2"/>
      <c r="AD35" s="2"/>
      <c r="AE35" s="2"/>
      <c r="AF35" s="2"/>
      <c r="AG35" s="2"/>
      <c r="AH35" s="2"/>
      <c r="AI35" s="2"/>
    </row>
    <row r="36" spans="1:35" ht="15.75" hidden="1" thickBot="1" x14ac:dyDescent="0.3">
      <c r="A36" s="119" t="s">
        <v>30</v>
      </c>
      <c r="B36" s="120">
        <f>SUM(B29:B35)</f>
        <v>0</v>
      </c>
      <c r="C36" s="121" t="e">
        <f>IF(SUM(C29:C35)=0, "", IF(SUM(C29:C35)&gt;C37, "High", IF(SUM(C29:C35)&lt;C37, "Low", "Good")))</f>
        <v>#DIV/0!</v>
      </c>
      <c r="D36" s="120">
        <f>SUM(D29:D35)</f>
        <v>0</v>
      </c>
      <c r="E36" s="121" t="e">
        <f>IF(SUM(E29:E35)=0, "", IF(SUM(E29:E35)&gt;E37, "High", IF(SUM(E29:E35)&lt;E37, "Low", "Good")))</f>
        <v>#DIV/0!</v>
      </c>
      <c r="F36" s="120">
        <f>SUM(F29:F35)</f>
        <v>0</v>
      </c>
      <c r="G36" s="121" t="e">
        <f>IF(SUM(G29:G35)=0, "", IF(SUM(G29:G35)&gt;G37, "High", IF(SUM(G29:G35)&lt;G37, "Low", "Good")))</f>
        <v>#DIV/0!</v>
      </c>
      <c r="H36" s="120">
        <f>SUM(H29:H35)</f>
        <v>0</v>
      </c>
      <c r="I36" s="121" t="e">
        <f>IF(SUM(I29:I35)=0, "", IF(SUM(I29:I35)&gt;I37, "High", IF(SUM(I29:I35)&lt;I37, "Low", "Good")))</f>
        <v>#DIV/0!</v>
      </c>
      <c r="J36" s="120">
        <f>SUM(J29:J35)</f>
        <v>0</v>
      </c>
      <c r="K36" s="121" t="e">
        <f>IF(SUM(K29:K35)=0, "", IF(SUM(K29:K35)&gt;K37, "High", IF(SUM(K29:K35)&lt;K37, "Low", "Good")))</f>
        <v>#DIV/0!</v>
      </c>
      <c r="L36" s="120">
        <f>SUM(L29:L35)</f>
        <v>0</v>
      </c>
      <c r="M36" s="121" t="e">
        <f>IF(SUM(M29:M35)=0, "", IF(SUM(M29:M35)&gt;M37, "High", IF(SUM(M29:M35)&lt;M37, "Low", "Good")))</f>
        <v>#DIV/0!</v>
      </c>
      <c r="N36" s="120">
        <f>SUM(N29:N35)</f>
        <v>0</v>
      </c>
      <c r="O36" s="121" t="e">
        <f>IF(SUM(O29:O35)=0, "", IF(SUM(O29:O35)&gt;O37, "High", IF(SUM(O29:O35)&lt;O37, "Low", "Good")))</f>
        <v>#DIV/0!</v>
      </c>
      <c r="P36" s="120">
        <f>SUM(P29:P35)</f>
        <v>0</v>
      </c>
      <c r="Q36" s="121" t="e">
        <f>IF(SUM(Q29:Q35)=0, "", IF(SUM(Q29:Q35)&gt;Q37, "High", IF(SUM(Q29:Q35)&lt;Q37, "Low", "Good")))</f>
        <v>#DIV/0!</v>
      </c>
      <c r="R36" s="120">
        <f>SUM(R29:R35)</f>
        <v>0</v>
      </c>
      <c r="S36" s="121" t="e">
        <f>IF(SUM(S29:S35)=0, "", IF(SUM(S29:S35)&gt;S37, "High", IF(SUM(S29:S35)&lt;S37, "Low", "Good")))</f>
        <v>#DIV/0!</v>
      </c>
      <c r="T36" s="4"/>
      <c r="U36" s="63"/>
      <c r="V36" s="78"/>
      <c r="W36" s="63"/>
      <c r="X36" s="63"/>
      <c r="Y36" s="63"/>
      <c r="Z36" s="63"/>
      <c r="AA36" s="63"/>
      <c r="AB36" s="63"/>
      <c r="AC36" s="2"/>
      <c r="AD36" s="2"/>
      <c r="AE36" s="2"/>
      <c r="AF36" s="2"/>
      <c r="AG36" s="2"/>
      <c r="AH36" s="2"/>
      <c r="AI36" s="2"/>
    </row>
    <row r="37" spans="1:35" ht="15.75" hidden="1" thickBot="1" x14ac:dyDescent="0.3">
      <c r="A37" s="124" t="s">
        <v>50</v>
      </c>
      <c r="B37" s="122" t="str">
        <f ca="1">INDIRECT("A"&amp;CELL("row",INDEX(B29:B35,MATCH(MAX(B29:B35),B29:B35,0))))</f>
        <v>Alpha</v>
      </c>
      <c r="C37" s="123">
        <f>DAY(End)</f>
        <v>31</v>
      </c>
      <c r="D37" s="122" t="str">
        <f ca="1">INDIRECT("A"&amp;CELL("row",INDEX(D29:D35,MATCH(MAX(D29:D35),D29:D35,0))))</f>
        <v>Alpha</v>
      </c>
      <c r="E37" s="123">
        <f>DAY(End)</f>
        <v>31</v>
      </c>
      <c r="F37" s="122" t="str">
        <f ca="1">INDIRECT("A"&amp;CELL("row",INDEX(F29:F35,MATCH(MAX(F29:F35),F29:F35,0))))</f>
        <v>Alpha</v>
      </c>
      <c r="G37" s="123">
        <f>DAY(End)</f>
        <v>31</v>
      </c>
      <c r="H37" s="122" t="str">
        <f ca="1">INDIRECT("A"&amp;CELL("row",INDEX(H29:H35,MATCH(MAX(H29:H35),H29:H35,0))))</f>
        <v>Alpha</v>
      </c>
      <c r="I37" s="123">
        <f>DAY(End)</f>
        <v>31</v>
      </c>
      <c r="J37" s="122" t="str">
        <f ca="1">INDIRECT("A"&amp;CELL("row",INDEX(J29:J35,MATCH(MAX(J29:J35),J29:J35,0))))</f>
        <v>Alpha</v>
      </c>
      <c r="K37" s="123">
        <f>DAY(End)</f>
        <v>31</v>
      </c>
      <c r="L37" s="122" t="str">
        <f ca="1">INDIRECT("A"&amp;CELL("row",INDEX(L29:L35,MATCH(MAX(L29:L35),L29:L35,0))))</f>
        <v>Alpha</v>
      </c>
      <c r="M37" s="123">
        <f>DAY(End)*4</f>
        <v>124</v>
      </c>
      <c r="N37" s="122" t="str">
        <f ca="1">INDIRECT("A"&amp;CELL("row",INDEX(N29:N35,MATCH(MAX(N29:N35),N29:N35,0))))</f>
        <v>Alpha</v>
      </c>
      <c r="O37" s="123">
        <f>DAY(End)</f>
        <v>31</v>
      </c>
      <c r="P37" s="122" t="str">
        <f ca="1">INDIRECT("A"&amp;CELL("row",INDEX(P29:P35,MATCH(MAX(P29:P35),P29:P35,0))))</f>
        <v>Alpha</v>
      </c>
      <c r="Q37" s="123">
        <f>DAY(End)</f>
        <v>31</v>
      </c>
      <c r="R37" s="122" t="str">
        <f ca="1">INDIRECT("A"&amp;CELL("row",INDEX(R29:R35,MATCH(MAX(R29:R35),R29:R35,0))))</f>
        <v>Alpha</v>
      </c>
      <c r="S37" s="123">
        <f>DAY(End)*2</f>
        <v>62</v>
      </c>
      <c r="T37" s="2"/>
      <c r="U37" s="2"/>
      <c r="V37" s="2"/>
      <c r="W37" s="2"/>
      <c r="X37" s="2"/>
      <c r="Y37" s="2"/>
      <c r="Z37" s="2"/>
      <c r="AA37" s="2"/>
      <c r="AB37" s="2"/>
      <c r="AC37" s="2"/>
      <c r="AD37" s="2"/>
      <c r="AE37" s="2"/>
      <c r="AF37" s="2"/>
      <c r="AG37" s="2"/>
      <c r="AH37" s="2"/>
      <c r="AI37" s="2"/>
    </row>
    <row r="38" spans="1:35" hidden="1" x14ac:dyDescent="0.25">
      <c r="A38" s="2"/>
      <c r="B38" s="2" t="e">
        <f>SUM(SUM(DAY(End)/7)/SUM(B36/7))*100</f>
        <v>#DIV/0!</v>
      </c>
      <c r="C38" s="2"/>
      <c r="D38" s="2" t="e">
        <f>SUM(SUM(DAY(End)/7)/SUM(D36/7))*100</f>
        <v>#DIV/0!</v>
      </c>
      <c r="E38" s="2"/>
      <c r="F38" s="2" t="e">
        <f>SUM(SUM(DAY(End)/7)/SUM(F36/7))*100</f>
        <v>#DIV/0!</v>
      </c>
      <c r="G38" s="2"/>
      <c r="H38" s="2" t="e">
        <f>SUM(SUM(DAY(End)/4)/SUM(H36/4))*100</f>
        <v>#DIV/0!</v>
      </c>
      <c r="I38" s="2"/>
      <c r="J38" s="2" t="e">
        <f>SUM(SUM(DAY(End)/4)/SUM(J36/4))*100</f>
        <v>#DIV/0!</v>
      </c>
      <c r="K38" s="2"/>
      <c r="L38" s="2" t="e">
        <f>SUM(SUM(SUM(DAY(End)*4)/4)/SUM(L36/4))*100</f>
        <v>#DIV/0!</v>
      </c>
      <c r="M38" s="2"/>
      <c r="N38" s="2" t="e">
        <f>SUM(SUM(DAY(End)/2)/SUM(N36/2))*100</f>
        <v>#DIV/0!</v>
      </c>
      <c r="O38" s="2"/>
      <c r="P38" s="2" t="e">
        <f>SUM(SUM(DAY(End)/2)/SUM(P36/2))*100</f>
        <v>#DIV/0!</v>
      </c>
      <c r="Q38" s="2"/>
      <c r="R38" s="2" t="e">
        <f>SUM(SUM(SUM(DAY(End)*2)/2)/SUM(R36/2))*100</f>
        <v>#DIV/0!</v>
      </c>
      <c r="S38" s="2"/>
      <c r="T38" s="2"/>
      <c r="U38" s="2"/>
      <c r="V38" s="2"/>
      <c r="W38" s="2"/>
      <c r="X38" s="2"/>
      <c r="Y38" s="2"/>
      <c r="Z38" s="2"/>
      <c r="AA38" s="2"/>
      <c r="AB38" s="2"/>
      <c r="AC38" s="2"/>
      <c r="AD38" s="2"/>
      <c r="AE38" s="2"/>
      <c r="AF38" s="2"/>
      <c r="AG38" s="2"/>
      <c r="AH38" s="2"/>
      <c r="AI38" s="2"/>
    </row>
    <row r="39" spans="1:35" x14ac:dyDescent="0.25">
      <c r="W39" s="101"/>
    </row>
    <row r="40" spans="1:35" x14ac:dyDescent="0.25">
      <c r="W40" s="101"/>
    </row>
    <row r="41" spans="1:35" x14ac:dyDescent="0.25">
      <c r="W41" s="101"/>
    </row>
    <row r="42" spans="1:35" x14ac:dyDescent="0.25">
      <c r="W42" s="101"/>
    </row>
    <row r="43" spans="1:35" x14ac:dyDescent="0.25">
      <c r="W43" s="101"/>
    </row>
    <row r="44" spans="1:35" x14ac:dyDescent="0.25">
      <c r="Q44" s="102"/>
      <c r="R44" s="102"/>
      <c r="S44" s="102"/>
      <c r="T44" s="102"/>
      <c r="W44" s="101"/>
    </row>
    <row r="45" spans="1:35" x14ac:dyDescent="0.25">
      <c r="W45" s="101"/>
    </row>
    <row r="46" spans="1:35" x14ac:dyDescent="0.25">
      <c r="L46" s="103"/>
    </row>
    <row r="47" spans="1:35" x14ac:dyDescent="0.25">
      <c r="L47" s="103"/>
    </row>
    <row r="48" spans="1:35" x14ac:dyDescent="0.25">
      <c r="L48" s="103"/>
    </row>
    <row r="49" spans="12:12" x14ac:dyDescent="0.25">
      <c r="L49" s="103"/>
    </row>
  </sheetData>
  <sheetProtection algorithmName="SHA-512" hashValue="EUYsxLZvKxK39L8qjrxYppH9mrNLcr/+r3UW/dJbuiElNflBRvuvIsGASRvmOF0IuinsROZNmrjCCT6MDbtOEA==" saltValue="9Zx0asJHAZpQ/GsrwONIMA==" spinCount="100000" sheet="1" objects="1" scenarios="1" selectLockedCells="1" sort="0" autoFilter="0"/>
  <mergeCells count="44">
    <mergeCell ref="U18:AB26"/>
    <mergeCell ref="AE10:AE11"/>
    <mergeCell ref="AD10:AD11"/>
    <mergeCell ref="AH10:AH11"/>
    <mergeCell ref="AG10:AG11"/>
    <mergeCell ref="AF10:AF11"/>
    <mergeCell ref="N18:O18"/>
    <mergeCell ref="P18:Q18"/>
    <mergeCell ref="R18:S18"/>
    <mergeCell ref="B18:C18"/>
    <mergeCell ref="D18:E18"/>
    <mergeCell ref="F18:G18"/>
    <mergeCell ref="H18:I18"/>
    <mergeCell ref="J18:K18"/>
    <mergeCell ref="AD9:AG9"/>
    <mergeCell ref="AD8:AG8"/>
    <mergeCell ref="R28:S28"/>
    <mergeCell ref="A1:B1"/>
    <mergeCell ref="A2:B2"/>
    <mergeCell ref="B28:C28"/>
    <mergeCell ref="D28:E28"/>
    <mergeCell ref="F28:G28"/>
    <mergeCell ref="A4:AB5"/>
    <mergeCell ref="H28:I28"/>
    <mergeCell ref="J28:K28"/>
    <mergeCell ref="L28:M28"/>
    <mergeCell ref="N28:O28"/>
    <mergeCell ref="P28:Q28"/>
    <mergeCell ref="A16:AB17"/>
    <mergeCell ref="L18:M18"/>
    <mergeCell ref="AD7:AG7"/>
    <mergeCell ref="AD6:AG6"/>
    <mergeCell ref="AD4:AH5"/>
    <mergeCell ref="AE1:AG1"/>
    <mergeCell ref="E2:F2"/>
    <mergeCell ref="E1:F1"/>
    <mergeCell ref="H2:I2"/>
    <mergeCell ref="H1:I1"/>
    <mergeCell ref="X3:Z3"/>
    <mergeCell ref="AA3:AB3"/>
    <mergeCell ref="AA2:AB2"/>
    <mergeCell ref="AA1:AB1"/>
    <mergeCell ref="X2:Z2"/>
    <mergeCell ref="X1:Z1"/>
  </mergeCells>
  <conditionalFormatting sqref="C26 E26 G26 I26 K26 O26 Q26">
    <cfRule type="expression" dxfId="18" priority="27">
      <formula>INDIRECT(ADDRESS(ROW(),COLUMN()))&lt;DAY(End)</formula>
    </cfRule>
    <cfRule type="expression" dxfId="17" priority="28">
      <formula>INDIRECT(ADDRESS(ROW(),COLUMN()))&gt;DAY(End)</formula>
    </cfRule>
  </conditionalFormatting>
  <conditionalFormatting sqref="S26">
    <cfRule type="expression" dxfId="16" priority="25">
      <formula>INDIRECT(ADDRESS(ROW(),COLUMN()))&lt;DAY(End)*2</formula>
    </cfRule>
    <cfRule type="expression" dxfId="15" priority="26">
      <formula>INDIRECT(ADDRESS(ROW(),COLUMN()))&gt;DAY(End)*2</formula>
    </cfRule>
  </conditionalFormatting>
  <conditionalFormatting sqref="M26">
    <cfRule type="expression" dxfId="14" priority="23">
      <formula>INDIRECT(ADDRESS(ROW(),COLUMN()))&lt;DAY(End)*4</formula>
    </cfRule>
    <cfRule type="expression" dxfId="13" priority="24">
      <formula>INDIRECT(ADDRESS(ROW(),COLUMN()))&gt;DAY(End)*4</formula>
    </cfRule>
  </conditionalFormatting>
  <conditionalFormatting sqref="T26">
    <cfRule type="expression" dxfId="12" priority="10">
      <formula>INDIRECT(ADDRESS(ROW(),COLUMN()))=0</formula>
    </cfRule>
    <cfRule type="expression" dxfId="11" priority="20">
      <formula>INDIRECT(ADDRESS(ROW(),COLUMN()))=$AH$7</formula>
    </cfRule>
    <cfRule type="expression" dxfId="10" priority="21">
      <formula>INDIRECT(ADDRESS(ROW(),COLUMN()))&lt;$AH$7</formula>
    </cfRule>
    <cfRule type="expression" dxfId="9" priority="22">
      <formula>INDIRECT(ADDRESS(ROW(),COLUMN()))&gt;$AH$7</formula>
    </cfRule>
  </conditionalFormatting>
  <conditionalFormatting sqref="AA3">
    <cfRule type="expression" dxfId="8" priority="11">
      <formula>AND($AA$3&lt;&gt;"",OR($AA$1&lt;&gt;"",$AA$2&lt;&gt;""))</formula>
    </cfRule>
  </conditionalFormatting>
  <conditionalFormatting sqref="AA2">
    <cfRule type="expression" dxfId="7" priority="1">
      <formula>"AND(Unavailable!$A$2:$E$1048576="""",NOT(ISBLANK($AA$2)))"</formula>
    </cfRule>
  </conditionalFormatting>
  <dataValidations count="4">
    <dataValidation type="list" allowBlank="1" showInputMessage="1" showErrorMessage="1" sqref="A2:B2">
      <formula1>"January, February, March, April, May, June, July, August, September, October, November, December"</formula1>
    </dataValidation>
    <dataValidation type="whole" operator="greaterThan" allowBlank="1" showInputMessage="1" showErrorMessage="1" sqref="C2">
      <formula1>1775</formula1>
    </dataValidation>
    <dataValidation type="list" allowBlank="1" showInputMessage="1" showErrorMessage="1" sqref="D2 G2">
      <formula1>"1,2,3,4,5,6,7,8,9,10,11,12,13,14,15,16,17,18,19,20"</formula1>
    </dataValidation>
    <dataValidation type="list" allowBlank="1" showInputMessage="1" showErrorMessage="1" sqref="Q45:T45">
      <formula1>OFFSET(#REF!,0,0,COUNTIF(#REF!,"&lt;&gt;"))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_PrepForDuty">
              <controlPr defaultSize="0" print="0" autoFill="0" autoPict="0" macro="[0]!ApplyDutyFilter" altText="Filter AB Roster for Duty">
                <anchor moveWithCells="1" sizeWithCells="1">
                  <from>
                    <xdr:col>17</xdr:col>
                    <xdr:colOff>323850</xdr:colOff>
                    <xdr:row>0</xdr:row>
                    <xdr:rowOff>76200</xdr:rowOff>
                  </from>
                  <to>
                    <xdr:col>19</xdr:col>
                    <xdr:colOff>390525</xdr:colOff>
                    <xdr:row>2</xdr:row>
                    <xdr:rowOff>104775</xdr:rowOff>
                  </to>
                </anchor>
              </controlPr>
            </control>
          </mc:Choice>
        </mc:AlternateContent>
        <mc:AlternateContent xmlns:mc="http://schemas.openxmlformats.org/markup-compatibility/2006">
          <mc:Choice Requires="x14">
            <control shapeId="6149" r:id="rId5" name="Button_CustomFilter">
              <controlPr defaultSize="0" print="0" autoFill="0" autoPict="0" macro="[0]!Import_ME">
                <anchor moveWithCells="1" sizeWithCells="1">
                  <from>
                    <xdr:col>9</xdr:col>
                    <xdr:colOff>333375</xdr:colOff>
                    <xdr:row>0</xdr:row>
                    <xdr:rowOff>76200</xdr:rowOff>
                  </from>
                  <to>
                    <xdr:col>11</xdr:col>
                    <xdr:colOff>400050</xdr:colOff>
                    <xdr:row>2</xdr:row>
                    <xdr:rowOff>104775</xdr:rowOff>
                  </to>
                </anchor>
              </controlPr>
            </control>
          </mc:Choice>
        </mc:AlternateContent>
        <mc:AlternateContent xmlns:mc="http://schemas.openxmlformats.org/markup-compatibility/2006">
          <mc:Choice Requires="x14">
            <control shapeId="6177" r:id="rId6" name="Button 33">
              <controlPr defaultSize="0" print="0" autoFill="0" autoPict="0" macro="[0]!Import_MR">
                <anchor moveWithCells="1" sizeWithCells="1">
                  <from>
                    <xdr:col>14</xdr:col>
                    <xdr:colOff>495300</xdr:colOff>
                    <xdr:row>0</xdr:row>
                    <xdr:rowOff>76200</xdr:rowOff>
                  </from>
                  <to>
                    <xdr:col>17</xdr:col>
                    <xdr:colOff>47625</xdr:colOff>
                    <xdr:row>2</xdr:row>
                    <xdr:rowOff>104775</xdr:rowOff>
                  </to>
                </anchor>
              </controlPr>
            </control>
          </mc:Choice>
        </mc:AlternateContent>
        <mc:AlternateContent xmlns:mc="http://schemas.openxmlformats.org/markup-compatibility/2006">
          <mc:Choice Requires="x14">
            <control shapeId="6181" r:id="rId7" name="Button 37">
              <controlPr defaultSize="0" print="0" autoFill="0" autoPict="0" macro="[0]!Clear_Rosters">
                <anchor moveWithCells="1" sizeWithCells="1">
                  <from>
                    <xdr:col>20</xdr:col>
                    <xdr:colOff>152400</xdr:colOff>
                    <xdr:row>0</xdr:row>
                    <xdr:rowOff>76200</xdr:rowOff>
                  </from>
                  <to>
                    <xdr:col>22</xdr:col>
                    <xdr:colOff>190500</xdr:colOff>
                    <xdr:row>2</xdr:row>
                    <xdr:rowOff>104775</xdr:rowOff>
                  </to>
                </anchor>
              </controlPr>
            </control>
          </mc:Choice>
        </mc:AlternateContent>
        <mc:AlternateContent xmlns:mc="http://schemas.openxmlformats.org/markup-compatibility/2006">
          <mc:Choice Requires="x14">
            <control shapeId="6183" r:id="rId8" name="Button 39">
              <controlPr defaultSize="0" print="0" autoFill="0" autoPict="0" macro="[0]!CopyRecommededDuty">
                <anchor moveWithCells="1" sizeWithCells="1">
                  <from>
                    <xdr:col>29</xdr:col>
                    <xdr:colOff>66675</xdr:colOff>
                    <xdr:row>18</xdr:row>
                    <xdr:rowOff>66675</xdr:rowOff>
                  </from>
                  <to>
                    <xdr:col>31</xdr:col>
                    <xdr:colOff>133350</xdr:colOff>
                    <xdr:row>20</xdr:row>
                    <xdr:rowOff>95250</xdr:rowOff>
                  </to>
                </anchor>
              </controlPr>
            </control>
          </mc:Choice>
        </mc:AlternateContent>
        <mc:AlternateContent xmlns:mc="http://schemas.openxmlformats.org/markup-compatibility/2006">
          <mc:Choice Requires="x14">
            <control shapeId="6184" r:id="rId9" name="Button 40">
              <controlPr defaultSize="0" print="0" autoFill="0" autoPict="0" macro="[0]!CreateDutyRoster">
                <anchor moveWithCells="1" sizeWithCells="1">
                  <from>
                    <xdr:col>31</xdr:col>
                    <xdr:colOff>381000</xdr:colOff>
                    <xdr:row>18</xdr:row>
                    <xdr:rowOff>66675</xdr:rowOff>
                  </from>
                  <to>
                    <xdr:col>33</xdr:col>
                    <xdr:colOff>447675</xdr:colOff>
                    <xdr:row>20</xdr:row>
                    <xdr:rowOff>95250</xdr:rowOff>
                  </to>
                </anchor>
              </controlPr>
            </control>
          </mc:Choice>
        </mc:AlternateContent>
        <mc:AlternateContent xmlns:mc="http://schemas.openxmlformats.org/markup-compatibility/2006">
          <mc:Choice Requires="x14">
            <control shapeId="6187" r:id="rId10" name="Button 43">
              <controlPr defaultSize="0" print="0" autoFill="0" autoPict="0" macro="[0]!Import_NA">
                <anchor moveWithCells="1" sizeWithCells="1">
                  <from>
                    <xdr:col>12</xdr:col>
                    <xdr:colOff>152400</xdr:colOff>
                    <xdr:row>0</xdr:row>
                    <xdr:rowOff>76200</xdr:rowOff>
                  </from>
                  <to>
                    <xdr:col>14</xdr:col>
                    <xdr:colOff>219075</xdr:colOff>
                    <xdr:row>2</xdr:row>
                    <xdr:rowOff>104775</xdr:rowOff>
                  </to>
                </anchor>
              </controlPr>
            </control>
          </mc:Choice>
        </mc:AlternateContent>
        <mc:AlternateContent xmlns:mc="http://schemas.openxmlformats.org/markup-compatibility/2006">
          <mc:Choice Requires="x14">
            <control shapeId="6189" r:id="rId11" name="Button 45">
              <controlPr defaultSize="0" print="0" autoFill="0" autoPict="0" macro="[0]!_xludf.Split">
                <anchor moveWithCells="1" sizeWithCells="1">
                  <from>
                    <xdr:col>29</xdr:col>
                    <xdr:colOff>76200</xdr:colOff>
                    <xdr:row>21</xdr:row>
                    <xdr:rowOff>19050</xdr:rowOff>
                  </from>
                  <to>
                    <xdr:col>31</xdr:col>
                    <xdr:colOff>142875</xdr:colOff>
                    <xdr:row>24</xdr:row>
                    <xdr:rowOff>19050</xdr:rowOff>
                  </to>
                </anchor>
              </controlPr>
            </control>
          </mc:Choice>
        </mc:AlternateContent>
        <mc:AlternateContent xmlns:mc="http://schemas.openxmlformats.org/markup-compatibility/2006">
          <mc:Choice Requires="x14">
            <control shapeId="6190" r:id="rId12" name="Button 46">
              <controlPr defaultSize="0" print="0" autoFill="0" autoPict="0" macro="[0]!Merge">
                <anchor moveWithCells="1" sizeWithCells="1">
                  <from>
                    <xdr:col>31</xdr:col>
                    <xdr:colOff>390525</xdr:colOff>
                    <xdr:row>21</xdr:row>
                    <xdr:rowOff>19050</xdr:rowOff>
                  </from>
                  <to>
                    <xdr:col>33</xdr:col>
                    <xdr:colOff>457200</xdr:colOff>
                    <xdr:row>24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5FA0FBD6-4868-4839-B677-E5F41759D069}">
            <xm:f>AND(Medical!$A$2:$E$1048576="",NOT(ISBLANK($AA$1)))</xm:f>
            <x14:dxf>
              <fill>
                <patternFill>
                  <bgColor rgb="FFFFC000"/>
                </patternFill>
              </fill>
            </x14:dxf>
          </x14:cfRule>
          <x14:cfRule type="expression" priority="14" id="{6A865A14-B09D-4868-8B4A-5A53BCE5AFA1}">
            <xm:f>Medical!$A$2:$E$1048576&lt;&gt;""</xm:f>
            <x14:dxf>
              <fill>
                <patternFill>
                  <bgColor rgb="FF33CC33"/>
                </patternFill>
              </fill>
            </x14:dxf>
          </x14:cfRule>
          <x14:cfRule type="expression" priority="15" id="{5050381D-755D-48BC-98E3-D0BB72F8E858}">
            <xm:f>Medical!$A$2:$E$1048576=""</xm:f>
            <x14:dxf>
              <fill>
                <patternFill>
                  <bgColor rgb="FFFF0000"/>
                </patternFill>
              </fill>
            </x14:dxf>
          </x14:cfRule>
          <xm:sqref>AA1</xm:sqref>
        </x14:conditionalFormatting>
        <x14:conditionalFormatting xmlns:xm="http://schemas.microsoft.com/office/excel/2006/main">
          <x14:cfRule type="expression" priority="16" id="{16044471-D3E9-41BF-8087-6BECDE8342DC}">
            <xm:f>Unavailable!$A$2:$E$1048576&lt;&gt;""</xm:f>
            <x14:dxf>
              <fill>
                <patternFill>
                  <bgColor rgb="FF33CC33"/>
                </patternFill>
              </fill>
            </x14:dxf>
          </x14:cfRule>
          <x14:cfRule type="expression" priority="19" id="{35EC8112-30AE-40AE-8EAB-137CE811C05A}">
            <xm:f>Unavailable!$A$2:$E$1048576=""</xm:f>
            <x14:dxf>
              <fill>
                <patternFill>
                  <bgColor rgb="FFFF0000"/>
                </patternFill>
              </fill>
            </x14:dxf>
          </x14:cfRule>
          <xm:sqref>AA2</xm:sqref>
        </x14:conditionalFormatting>
        <x14:conditionalFormatting xmlns:xm="http://schemas.microsoft.com/office/excel/2006/main">
          <x14:cfRule type="expression" priority="12" id="{91EA918B-B77B-4CC8-A24E-7AF17959CED5}">
            <xm:f>'Available Bodies'!$A$2:$K$1048576&lt;&gt;""</xm:f>
            <x14:dxf>
              <fill>
                <patternFill>
                  <bgColor rgb="FF33CC33"/>
                </patternFill>
              </fill>
            </x14:dxf>
          </x14:cfRule>
          <x14:cfRule type="expression" priority="13" id="{904E597A-46C6-41A3-A696-A5217098D37A}">
            <xm:f>'Available Bodies'!$A$2:$K$1048576=""</xm:f>
            <x14:dxf>
              <fill>
                <patternFill>
                  <bgColor rgb="FFFF0000"/>
                </patternFill>
              </fill>
            </x14:dxf>
          </x14:cfRule>
          <xm:sqref>AA3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 min="8" max="8" width="13.42578125" bestFit="1" customWidth="1"/>
    <col min="9" max="9" width="28.5703125" bestFit="1" customWidth="1"/>
    <col min="10" max="10" width="14.28515625" style="118" bestFit="1" customWidth="1"/>
    <col min="11" max="11" width="13.42578125" style="118" bestFit="1" customWidth="1"/>
  </cols>
  <sheetData>
    <row r="1" spans="1:11" s="2" customFormat="1" ht="15.75" thickBot="1" x14ac:dyDescent="0.3">
      <c r="A1" s="1" t="s">
        <v>0</v>
      </c>
      <c r="B1" s="1" t="s">
        <v>60</v>
      </c>
      <c r="C1" s="1" t="s">
        <v>1</v>
      </c>
      <c r="D1" s="1" t="s">
        <v>61</v>
      </c>
      <c r="E1" s="1" t="s">
        <v>62</v>
      </c>
      <c r="F1" s="1" t="s">
        <v>65</v>
      </c>
      <c r="G1" s="1" t="s">
        <v>66</v>
      </c>
      <c r="H1" s="1" t="s">
        <v>2</v>
      </c>
      <c r="I1" s="1" t="s">
        <v>3</v>
      </c>
      <c r="J1" s="1" t="s">
        <v>63</v>
      </c>
      <c r="K1" s="1" t="s">
        <v>64</v>
      </c>
    </row>
  </sheetData>
  <sheetProtection algorithmName="SHA-512" hashValue="j/VrUj3VnDiqB+rPFoRSRdIgZOCcdE8D59YX/AX5PzLSZ9rri+NIGZgYhtyXBZXIGQvFtBZ8yQtvpJO/lJL46Q==" saltValue="E0jFP6lzf4rNcL9CQ4qLuQ==" spinCount="100000" sheet="1" objects="1" scenarios="1" selectLockedCells="1" sort="0" autoFilter="0"/>
  <autoFilter ref="A1:K154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2" sqref="E2:F18"/>
    </sheetView>
  </sheetViews>
  <sheetFormatPr defaultRowHeight="15" x14ac:dyDescent="0.25"/>
  <cols>
    <col min="1" max="1" width="7.7109375" customWidth="1"/>
    <col min="2" max="3" width="12.7109375" customWidth="1"/>
    <col min="4" max="4" width="17.7109375" bestFit="1" customWidth="1"/>
    <col min="5" max="6" width="12.7109375" style="118" customWidth="1"/>
  </cols>
  <sheetData>
    <row r="1" spans="1:6" s="2" customFormat="1" ht="15.75" thickBot="1" x14ac:dyDescent="0.3">
      <c r="A1" s="1" t="s">
        <v>0</v>
      </c>
      <c r="B1" s="1" t="s">
        <v>1</v>
      </c>
      <c r="C1" s="1" t="s">
        <v>2</v>
      </c>
      <c r="D1" s="1" t="s">
        <v>3</v>
      </c>
      <c r="E1" s="1" t="s">
        <v>68</v>
      </c>
      <c r="F1" s="1" t="s">
        <v>64</v>
      </c>
    </row>
  </sheetData>
  <sheetProtection algorithmName="SHA-512" hashValue="Tuzh8o9s1GTqgD/rzseIxZnrSfqKRCSpOhLBIRlJ0ePiuToPWZirZl04dTglVKKN5X6fTgpBJmaTeC6+OhzarQ==" saltValue="gf4y6u9ijOFyuoPAWtZn3w==" spinCount="100000" sheet="1" objects="1" scenarios="1" sort="0" autoFilter="0"/>
  <autoFilter ref="A1:F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
  <sheetViews>
    <sheetView workbookViewId="0">
      <selection activeCell="A2" sqref="A2"/>
    </sheetView>
  </sheetViews>
  <sheetFormatPr defaultRowHeight="15" x14ac:dyDescent="0.25"/>
  <cols>
    <col min="1" max="1" width="7.7109375" customWidth="1"/>
    <col min="2" max="4" width="12.7109375" customWidth="1"/>
    <col min="5" max="5" width="12.7109375" style="118" customWidth="1"/>
    <col min="6" max="6" width="9.140625" style="118"/>
  </cols>
  <sheetData>
    <row r="1" spans="1:5" s="2" customFormat="1" ht="15.75" thickBot="1" x14ac:dyDescent="0.3">
      <c r="A1" s="1" t="s">
        <v>0</v>
      </c>
      <c r="B1" s="1" t="s">
        <v>1</v>
      </c>
      <c r="C1" s="1" t="s">
        <v>3</v>
      </c>
      <c r="D1" s="1" t="s">
        <v>68</v>
      </c>
      <c r="E1" s="1" t="s">
        <v>64</v>
      </c>
    </row>
  </sheetData>
  <sheetProtection algorithmName="SHA-512" hashValue="ubE/UNCsqvJUahS/ApyDWKWhUDJxWMjYsC0AYfplQY1rozSoVO6aN75kpg0gWZmsjgLuynVkY4soNG/G7Q0LMg==" saltValue="LyeWLsJ5dxzcPPrL+3Cx6w==" spinCount="100000" sheet="1" objects="1" scenarios="1" sort="0" autoFilter="0"/>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34"/>
  <sheetViews>
    <sheetView workbookViewId="0">
      <selection activeCell="A2" sqref="A2"/>
    </sheetView>
  </sheetViews>
  <sheetFormatPr defaultRowHeight="15" x14ac:dyDescent="0.25"/>
  <cols>
    <col min="1" max="4" width="15.7109375" style="134" customWidth="1"/>
    <col min="5" max="6" width="9.140625" style="134"/>
    <col min="7" max="12" width="12.5703125" style="134" customWidth="1"/>
    <col min="13" max="16384" width="9.140625" style="134"/>
  </cols>
  <sheetData>
    <row r="1" spans="1:12" ht="30.75" thickBot="1" x14ac:dyDescent="0.3">
      <c r="A1" s="126" t="s">
        <v>86</v>
      </c>
      <c r="B1" s="135" t="s">
        <v>115</v>
      </c>
      <c r="C1" s="127" t="s">
        <v>90</v>
      </c>
      <c r="D1" s="126" t="s">
        <v>87</v>
      </c>
      <c r="G1" s="225" t="s">
        <v>103</v>
      </c>
      <c r="H1" s="226"/>
      <c r="I1" s="226"/>
      <c r="J1" s="226"/>
      <c r="K1" s="226"/>
      <c r="L1" s="227"/>
    </row>
    <row r="2" spans="1:12" x14ac:dyDescent="0.25">
      <c r="A2" s="129" t="s">
        <v>33</v>
      </c>
      <c r="B2" s="129" t="s">
        <v>78</v>
      </c>
      <c r="C2" s="129" t="s">
        <v>78</v>
      </c>
      <c r="D2" s="129" t="s">
        <v>38</v>
      </c>
      <c r="G2" s="228" t="s">
        <v>104</v>
      </c>
      <c r="H2" s="229"/>
      <c r="I2" s="229"/>
      <c r="J2" s="229"/>
      <c r="K2" s="229"/>
      <c r="L2" s="230"/>
    </row>
    <row r="3" spans="1:12" x14ac:dyDescent="0.25">
      <c r="A3" s="130" t="s">
        <v>45</v>
      </c>
      <c r="B3" s="130" t="s">
        <v>77</v>
      </c>
      <c r="C3" s="130" t="s">
        <v>77</v>
      </c>
      <c r="D3" s="130" t="s">
        <v>39</v>
      </c>
      <c r="G3" s="231"/>
      <c r="H3" s="232"/>
      <c r="I3" s="232"/>
      <c r="J3" s="232"/>
      <c r="K3" s="232"/>
      <c r="L3" s="233"/>
    </row>
    <row r="4" spans="1:12" ht="15.75" thickBot="1" x14ac:dyDescent="0.3">
      <c r="A4" s="130" t="s">
        <v>34</v>
      </c>
      <c r="B4" s="130" t="s">
        <v>76</v>
      </c>
      <c r="C4" s="130" t="s">
        <v>76</v>
      </c>
      <c r="D4" s="130" t="s">
        <v>40</v>
      </c>
      <c r="G4" s="234"/>
      <c r="H4" s="235"/>
      <c r="I4" s="235"/>
      <c r="J4" s="235"/>
      <c r="K4" s="235"/>
      <c r="L4" s="236"/>
    </row>
    <row r="5" spans="1:12" ht="15.75" thickBot="1" x14ac:dyDescent="0.3">
      <c r="A5" s="130" t="s">
        <v>35</v>
      </c>
      <c r="B5" s="130" t="s">
        <v>79</v>
      </c>
      <c r="C5" s="130" t="s">
        <v>79</v>
      </c>
      <c r="D5" s="130" t="s">
        <v>41</v>
      </c>
    </row>
    <row r="6" spans="1:12" x14ac:dyDescent="0.25">
      <c r="A6" s="130" t="s">
        <v>36</v>
      </c>
      <c r="B6" s="130" t="s">
        <v>113</v>
      </c>
      <c r="C6" s="130" t="s">
        <v>36</v>
      </c>
      <c r="D6" s="130" t="s">
        <v>42</v>
      </c>
      <c r="G6" s="237" t="s">
        <v>105</v>
      </c>
      <c r="H6" s="238"/>
      <c r="I6" s="238"/>
      <c r="J6" s="238"/>
      <c r="K6" s="238"/>
      <c r="L6" s="239"/>
    </row>
    <row r="7" spans="1:12" x14ac:dyDescent="0.25">
      <c r="A7" s="130" t="s">
        <v>44</v>
      </c>
      <c r="B7" s="130" t="s">
        <v>112</v>
      </c>
      <c r="C7" s="130" t="s">
        <v>44</v>
      </c>
      <c r="D7" s="130" t="s">
        <v>43</v>
      </c>
      <c r="G7" s="240" t="s">
        <v>106</v>
      </c>
      <c r="H7" s="241"/>
      <c r="I7" s="241"/>
      <c r="J7" s="241"/>
      <c r="K7" s="241"/>
      <c r="L7" s="242"/>
    </row>
    <row r="8" spans="1:12" ht="15.75" thickBot="1" x14ac:dyDescent="0.3">
      <c r="A8" s="131" t="s">
        <v>37</v>
      </c>
      <c r="B8" s="131" t="s">
        <v>114</v>
      </c>
      <c r="C8" s="131" t="s">
        <v>37</v>
      </c>
      <c r="D8" s="130" t="s">
        <v>82</v>
      </c>
      <c r="G8" s="240"/>
      <c r="H8" s="241"/>
      <c r="I8" s="241"/>
      <c r="J8" s="241"/>
      <c r="K8" s="241"/>
      <c r="L8" s="242"/>
    </row>
    <row r="9" spans="1:12" ht="15" customHeight="1" x14ac:dyDescent="0.25">
      <c r="A9" s="133"/>
      <c r="B9" s="133"/>
      <c r="D9" s="130" t="s">
        <v>83</v>
      </c>
      <c r="G9" s="240"/>
      <c r="H9" s="241"/>
      <c r="I9" s="241"/>
      <c r="J9" s="241"/>
      <c r="K9" s="241"/>
      <c r="L9" s="242"/>
    </row>
    <row r="10" spans="1:12" ht="15.75" thickBot="1" x14ac:dyDescent="0.3">
      <c r="A10" s="133"/>
      <c r="B10" s="133"/>
      <c r="D10" s="131" t="s">
        <v>84</v>
      </c>
      <c r="G10" s="240"/>
      <c r="H10" s="241"/>
      <c r="I10" s="241"/>
      <c r="J10" s="241"/>
      <c r="K10" s="241"/>
      <c r="L10" s="242"/>
    </row>
    <row r="11" spans="1:12" x14ac:dyDescent="0.25">
      <c r="A11" s="133"/>
      <c r="B11" s="133"/>
      <c r="C11" s="133"/>
      <c r="G11" s="240"/>
      <c r="H11" s="241"/>
      <c r="I11" s="241"/>
      <c r="J11" s="241"/>
      <c r="K11" s="241"/>
      <c r="L11" s="242"/>
    </row>
    <row r="12" spans="1:12" x14ac:dyDescent="0.25">
      <c r="G12" s="240"/>
      <c r="H12" s="241"/>
      <c r="I12" s="241"/>
      <c r="J12" s="241"/>
      <c r="K12" s="241"/>
      <c r="L12" s="242"/>
    </row>
    <row r="13" spans="1:12" ht="15.75" thickBot="1" x14ac:dyDescent="0.3">
      <c r="G13" s="240"/>
      <c r="H13" s="241"/>
      <c r="I13" s="241"/>
      <c r="J13" s="241"/>
      <c r="K13" s="241"/>
      <c r="L13" s="242"/>
    </row>
    <row r="14" spans="1:12" ht="15.75" customHeight="1" thickBot="1" x14ac:dyDescent="0.3">
      <c r="A14" s="181" t="s">
        <v>102</v>
      </c>
      <c r="B14" s="182"/>
      <c r="C14" s="183"/>
      <c r="G14" s="240"/>
      <c r="H14" s="241"/>
      <c r="I14" s="241"/>
      <c r="J14" s="241"/>
      <c r="K14" s="241"/>
      <c r="L14" s="242"/>
    </row>
    <row r="15" spans="1:12" ht="15.75" thickBot="1" x14ac:dyDescent="0.3">
      <c r="A15" s="126" t="s">
        <v>94</v>
      </c>
      <c r="B15" s="250" t="s">
        <v>100</v>
      </c>
      <c r="C15" s="251"/>
      <c r="G15" s="240"/>
      <c r="H15" s="241"/>
      <c r="I15" s="241"/>
      <c r="J15" s="241"/>
      <c r="K15" s="241"/>
      <c r="L15" s="242"/>
    </row>
    <row r="16" spans="1:12" ht="15.75" thickBot="1" x14ac:dyDescent="0.3">
      <c r="A16" s="126" t="s">
        <v>95</v>
      </c>
      <c r="B16" s="248" t="s">
        <v>101</v>
      </c>
      <c r="C16" s="249"/>
      <c r="G16" s="240"/>
      <c r="H16" s="241"/>
      <c r="I16" s="241"/>
      <c r="J16" s="241"/>
      <c r="K16" s="241"/>
      <c r="L16" s="242"/>
    </row>
    <row r="17" spans="1:12" ht="15.75" thickBot="1" x14ac:dyDescent="0.3">
      <c r="A17" s="126" t="s">
        <v>96</v>
      </c>
      <c r="B17" s="248" t="s">
        <v>98</v>
      </c>
      <c r="C17" s="249"/>
      <c r="G17" s="240"/>
      <c r="H17" s="241"/>
      <c r="I17" s="241"/>
      <c r="J17" s="241"/>
      <c r="K17" s="241"/>
      <c r="L17" s="242"/>
    </row>
    <row r="18" spans="1:12" ht="15.75" thickBot="1" x14ac:dyDescent="0.3">
      <c r="A18" s="126" t="s">
        <v>97</v>
      </c>
      <c r="B18" s="246" t="s">
        <v>99</v>
      </c>
      <c r="C18" s="247"/>
      <c r="G18" s="240"/>
      <c r="H18" s="241"/>
      <c r="I18" s="241"/>
      <c r="J18" s="241"/>
      <c r="K18" s="241"/>
      <c r="L18" s="242"/>
    </row>
    <row r="19" spans="1:12" ht="15.75" thickBot="1" x14ac:dyDescent="0.3">
      <c r="G19" s="240"/>
      <c r="H19" s="241"/>
      <c r="I19" s="241"/>
      <c r="J19" s="241"/>
      <c r="K19" s="241"/>
      <c r="L19" s="242"/>
    </row>
    <row r="20" spans="1:12" ht="15.75" thickBot="1" x14ac:dyDescent="0.3">
      <c r="A20" s="128" t="s">
        <v>88</v>
      </c>
      <c r="G20" s="240"/>
      <c r="H20" s="241"/>
      <c r="I20" s="241"/>
      <c r="J20" s="241"/>
      <c r="K20" s="241"/>
      <c r="L20" s="242"/>
    </row>
    <row r="21" spans="1:12" ht="15.75" thickBot="1" x14ac:dyDescent="0.3">
      <c r="A21" s="125" t="s">
        <v>89</v>
      </c>
      <c r="G21" s="240"/>
      <c r="H21" s="241"/>
      <c r="I21" s="241"/>
      <c r="J21" s="241"/>
      <c r="K21" s="241"/>
      <c r="L21" s="242"/>
    </row>
    <row r="22" spans="1:12" x14ac:dyDescent="0.25">
      <c r="G22" s="240"/>
      <c r="H22" s="241"/>
      <c r="I22" s="241"/>
      <c r="J22" s="241"/>
      <c r="K22" s="241"/>
      <c r="L22" s="242"/>
    </row>
    <row r="23" spans="1:12" x14ac:dyDescent="0.25">
      <c r="G23" s="240"/>
      <c r="H23" s="241"/>
      <c r="I23" s="241"/>
      <c r="J23" s="241"/>
      <c r="K23" s="241"/>
      <c r="L23" s="242"/>
    </row>
    <row r="24" spans="1:12" x14ac:dyDescent="0.25">
      <c r="G24" s="240"/>
      <c r="H24" s="241"/>
      <c r="I24" s="241"/>
      <c r="J24" s="241"/>
      <c r="K24" s="241"/>
      <c r="L24" s="242"/>
    </row>
    <row r="25" spans="1:12" x14ac:dyDescent="0.25">
      <c r="G25" s="240"/>
      <c r="H25" s="241"/>
      <c r="I25" s="241"/>
      <c r="J25" s="241"/>
      <c r="K25" s="241"/>
      <c r="L25" s="242"/>
    </row>
    <row r="26" spans="1:12" x14ac:dyDescent="0.25">
      <c r="G26" s="240"/>
      <c r="H26" s="241"/>
      <c r="I26" s="241"/>
      <c r="J26" s="241"/>
      <c r="K26" s="241"/>
      <c r="L26" s="242"/>
    </row>
    <row r="27" spans="1:12" x14ac:dyDescent="0.25">
      <c r="G27" s="240"/>
      <c r="H27" s="241"/>
      <c r="I27" s="241"/>
      <c r="J27" s="241"/>
      <c r="K27" s="241"/>
      <c r="L27" s="242"/>
    </row>
    <row r="28" spans="1:12" x14ac:dyDescent="0.25">
      <c r="G28" s="240"/>
      <c r="H28" s="241"/>
      <c r="I28" s="241"/>
      <c r="J28" s="241"/>
      <c r="K28" s="241"/>
      <c r="L28" s="242"/>
    </row>
    <row r="29" spans="1:12" x14ac:dyDescent="0.25">
      <c r="G29" s="240"/>
      <c r="H29" s="241"/>
      <c r="I29" s="241"/>
      <c r="J29" s="241"/>
      <c r="K29" s="241"/>
      <c r="L29" s="242"/>
    </row>
    <row r="30" spans="1:12" x14ac:dyDescent="0.25">
      <c r="G30" s="240"/>
      <c r="H30" s="241"/>
      <c r="I30" s="241"/>
      <c r="J30" s="241"/>
      <c r="K30" s="241"/>
      <c r="L30" s="242"/>
    </row>
    <row r="31" spans="1:12" x14ac:dyDescent="0.25">
      <c r="G31" s="240"/>
      <c r="H31" s="241"/>
      <c r="I31" s="241"/>
      <c r="J31" s="241"/>
      <c r="K31" s="241"/>
      <c r="L31" s="242"/>
    </row>
    <row r="32" spans="1:12" x14ac:dyDescent="0.25">
      <c r="G32" s="240"/>
      <c r="H32" s="241"/>
      <c r="I32" s="241"/>
      <c r="J32" s="241"/>
      <c r="K32" s="241"/>
      <c r="L32" s="242"/>
    </row>
    <row r="33" spans="7:12" x14ac:dyDescent="0.25">
      <c r="G33" s="240"/>
      <c r="H33" s="241"/>
      <c r="I33" s="241"/>
      <c r="J33" s="241"/>
      <c r="K33" s="241"/>
      <c r="L33" s="242"/>
    </row>
    <row r="34" spans="7:12" ht="15.75" thickBot="1" x14ac:dyDescent="0.3">
      <c r="G34" s="243"/>
      <c r="H34" s="244"/>
      <c r="I34" s="244"/>
      <c r="J34" s="244"/>
      <c r="K34" s="244"/>
      <c r="L34" s="245"/>
    </row>
  </sheetData>
  <sheetProtection algorithmName="SHA-512" hashValue="k7pddLUfdPh1PMXk55ciaUIUYEPNHK4ebijKc4shpiy1XrxeCBgYBxWzc4kbgMv2ISjD95+Uq+ReyD/vfFey/g==" saltValue="X5xw7qdqHJ0FtibqrA/Lrg==" spinCount="100000" sheet="1" objects="1" scenarios="1" selectLockedCells="1" sort="0" autoFilter="0"/>
  <mergeCells count="9">
    <mergeCell ref="G1:L1"/>
    <mergeCell ref="G2:L4"/>
    <mergeCell ref="G6:L6"/>
    <mergeCell ref="G7:L34"/>
    <mergeCell ref="A14:C14"/>
    <mergeCell ref="B18:C18"/>
    <mergeCell ref="B17:C17"/>
    <mergeCell ref="B16:C16"/>
    <mergeCell ref="B15:C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Update_CoCompanyList">
                <anchor moveWithCells="1" sizeWithCells="1">
                  <from>
                    <xdr:col>0</xdr:col>
                    <xdr:colOff>161925</xdr:colOff>
                    <xdr:row>8</xdr:row>
                    <xdr:rowOff>66675</xdr:rowOff>
                  </from>
                  <to>
                    <xdr:col>1</xdr:col>
                    <xdr:colOff>885825</xdr:colOff>
                    <xdr:row>12</xdr:row>
                    <xdr:rowOff>142875</xdr:rowOff>
                  </to>
                </anchor>
              </controlPr>
            </control>
          </mc:Choice>
        </mc:AlternateContent>
        <mc:AlternateContent xmlns:mc="http://schemas.openxmlformats.org/markup-compatibility/2006">
          <mc:Choice Requires="x14">
            <control shapeId="8194" r:id="rId5" name="Button 2">
              <controlPr defaultSize="0" print="0" autoFill="0" autoPict="0" macro="[0]!Change_Password">
                <anchor moveWithCells="1" sizeWithCells="1">
                  <from>
                    <xdr:col>1</xdr:col>
                    <xdr:colOff>628650</xdr:colOff>
                    <xdr:row>18</xdr:row>
                    <xdr:rowOff>180975</xdr:rowOff>
                  </from>
                  <to>
                    <xdr:col>2</xdr:col>
                    <xdr:colOff>419100</xdr:colOff>
                    <xdr:row>21</xdr:row>
                    <xdr:rowOff>28575</xdr:rowOff>
                  </to>
                </anchor>
              </controlPr>
            </control>
          </mc:Choice>
        </mc:AlternateContent>
        <mc:AlternateContent xmlns:mc="http://schemas.openxmlformats.org/markup-compatibility/2006">
          <mc:Choice Requires="x14">
            <control shapeId="8195" r:id="rId6" name="ExtDevMd">
              <controlPr defaultSize="0" print="0" autoFill="0" autoPict="0" macro="[0]!Toggle_DevMode">
                <anchor moveWithCells="1" sizeWithCells="1">
                  <from>
                    <xdr:col>12</xdr:col>
                    <xdr:colOff>295275</xdr:colOff>
                    <xdr:row>0</xdr:row>
                    <xdr:rowOff>180975</xdr:rowOff>
                  </from>
                  <to>
                    <xdr:col>13</xdr:col>
                    <xdr:colOff>314325</xdr:colOff>
                    <xdr:row>2</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Welcome</vt:lpstr>
      <vt:lpstr>End</vt:lpstr>
      <vt:lpstr>Start</vt:lpstr>
    </vt:vector>
  </TitlesOfParts>
  <Company>The United States Marine Corps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2019-12-05T20:42:31Z</dcterms:created>
  <dcterms:modified xsi:type="dcterms:W3CDTF">2021-03-23T18:59:21Z</dcterms:modified>
</cp:coreProperties>
</file>