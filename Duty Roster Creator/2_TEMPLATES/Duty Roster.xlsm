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anet\home\19yh8fx2\My Documents\Excel\Duty Roster Creator\2_TEMPLATES\"/>
    </mc:Choice>
  </mc:AlternateContent>
  <workbookProtection workbookAlgorithmName="SHA-512" workbookHashValue="UmTwJOjnzG4G9lGIjf8qYtRTJQ7cGAPvYfPGj+dHxYeba6MPuCcEUi4hNf3fl87+AKFHUdvQ0lD038hqvXXh9A==" workbookSaltValue="jpc4zgCRq59aMSt+KiPCXg==" workbookSpinCount="100000" lockStructure="1"/>
  <bookViews>
    <workbookView xWindow="-120" yWindow="-120" windowWidth="20730" windowHeight="11160"/>
  </bookViews>
  <sheets>
    <sheet name="Welcome" sheetId="9" r:id="rId1"/>
    <sheet name="MASTER" sheetId="1" state="veryHidden" r:id="rId2"/>
    <sheet name="Sheet2" sheetId="2" state="veryHidden" r:id="rId3"/>
    <sheet name="Sheet3" sheetId="3" state="veryHidden" r:id="rId4"/>
    <sheet name="Sheet4" sheetId="4" state="veryHidden" r:id="rId5"/>
    <sheet name="Sheet5" sheetId="5" state="veryHidden" r:id="rId6"/>
    <sheet name="Summary" sheetId="6" state="veryHidden" r:id="rId7"/>
    <sheet name="ABR Roster" sheetId="8" state="veryHidden" r:id="rId8"/>
    <sheet name="DevMode" sheetId="7" state="veryHidden" r:id="rId9"/>
  </sheets>
  <functionGroups builtInGroupCount="18"/>
  <definedNames>
    <definedName name="_xlnm._FilterDatabase" localSheetId="7" hidden="1">'ABR Roster'!$A$1:$G$851</definedName>
    <definedName name="Companies" comment="List of Companies">OFFSET(DevMode!$F$12,0,0,COUNTIF(DevMode!$F$12:$F$18,"&lt;&gt;"))</definedName>
    <definedName name="CompanyAbrv" comment="Company Abbreviations">OFFSET(DevMode!$I$12,0,0,COUNTIF(DevMode!$I$12:$I$18,"&lt;&gt;"))</definedName>
    <definedName name="DepDD_S2_DP01" comment="Dependant Dropdown List for Sheet 2 Duty Position 01">INDEX(DynDD_S2_DP01,1,1):INDEX(DynDD_S2_DP01,COUNTA(DynDD_S2_DP01),1)</definedName>
    <definedName name="DepDD_S2_DP02" comment="Dependant Dropdown List for Sheet 2 Duty Position 02">INDEX(DynDD_S2_DP02,1,1):INDEX(DynDD_S2_DP02,COUNTA(DynDD_S2_DP02),1)</definedName>
    <definedName name="DepDD_S2_DP03" comment="Dependant Dropdown List for Sheet 2 Duty Position 03">INDEX(DynDD_S2_DP03,1,1):INDEX(DynDD_S2_DP03,COUNTA(DynDD_S2_DP03),1)</definedName>
    <definedName name="DepDD_S3_DP01" comment="Dependant Dropdown List for Sheet 3 Duty Position 01">INDEX(DynDD_S3_DP01,1,1):INDEX(DynDD_S3_DP01,COUNTA(DynDD_S3_DP01),1)</definedName>
    <definedName name="DepDD_S3_DP02" comment="Dependant Dropdown List for Sheet 3 Duty Position 02">INDEX(DynDD_S3_DP02,1,1):INDEX(DynDD_S3_DP02,COUNTA(DynDD_S3_DP02),1)</definedName>
    <definedName name="DepDD_S3_DP03" comment="Dependant Dropdown List for Sheet 3 Duty Position 03">INDEX(DynDD_S3_DP03,1,1):INDEX(DynDD_S3_DP03,COUNTA(DynDD_S3_DP03),1)</definedName>
    <definedName name="DepDD_S4_DP01" comment="Dependant Dropdown List for Sheet 4 Duty Position 01">INDEX(DynDD_S4_DP01,1,1):INDEX(DynDD_S4_DP01,COUNTA(DynDD_S4_DP01),1)</definedName>
    <definedName name="DepDD_S4_DP02" comment="Dependant Dropdown List for Sheet 4 Duty Position 02">INDEX(DynDD_S4_DP02,1,1):INDEX(DynDD_S4_DP02,COUNTA(DynDD_S4_DP02),1)</definedName>
    <definedName name="DepDD_S4_DP03" comment="Dependant Dropdown List for Sheet 4 Duty Position 03">INDEX(DynDD_S4_DP03,1,1):INDEX(DynDD_S4_DP03,COUNTA(DynDD_S4_DP03),1)</definedName>
    <definedName name="DepDD_S4_DP04" comment="Dependant Dropdown List for Sheet 4 Duty Position 04">INDEX(DynDD_S4_DP04,1,1):INDEX(DynDD_S4_DP04,COUNTA(DynDD_S4_DP04),1)</definedName>
    <definedName name="DepDD_S4_DP05" comment="Dependant Dropdown List for Sheet 4 Duty Position 05">INDEX(DynDD_S4_DP05,1,1):INDEX(DynDD_S4_DP05,COUNTA(DynDD_S4_DP05),1)</definedName>
    <definedName name="DepDD_S4_DP06" comment="Dependant Dropdown List for Sheet 4 Duty Position 06">INDEX(DynDD_S4_DP06,1,1):INDEX(DynDD_S4_DP06,COUNTA(DynDD_S4_DP06),1)</definedName>
    <definedName name="DepDD_S5_DP01" comment="Dependant Dropdown List for Sheet 5 Duty Position 01">INDEX(DynDD_S5_DP01,1,1):INDEX(DynDD_S5_DP01,COUNTA(DynDD_S5_DP01),1)</definedName>
    <definedName name="DepDD_S5_DP02" comment="Dependant Dropdown List for Sheet 5 Duty Position 02">INDEX(DynDD_S5_DP02,1,1):INDEX(DynDD_S5_DP02,COUNTA(DynDD_S5_DP02),1)</definedName>
    <definedName name="DepDD_S5_DP03" comment="Dependant Dropdown List for Sheet 5 Duty Position 03">INDEX(DynDD_S5_DP03,1,1):INDEX(DynDD_S5_DP03,COUNTA(DynDD_S5_DP03),1)</definedName>
    <definedName name="DepDD_S5_DP04" comment="Dependant Dropdown List for Sheet 5 Duty Position 04">INDEX(DynDD_S5_DP04,1,1):INDEX(DynDD_S5_DP04,COUNTA(DynDD_S5_DP04),1)</definedName>
    <definedName name="DynDD_S2_DP01" comment="Dynamic Dropdown List for Sheet 2 Duty Position 01">INDEX(RLT[],0,MATCH(DevMode!$B$20,RLT[#Headers],0))</definedName>
    <definedName name="DynDD_S2_DP02" comment="Dynamic Dropdown List for Sheet 2 Duty Position 02">INDEX(RLT[],0,MATCH(DevMode!$B$22,RLT[#Headers],0))</definedName>
    <definedName name="DynDD_S2_DP03" comment="Dynamic Dropdown List for Sheet 2 Duty Position 03">INDEX(RLT[],0,MATCH(DevMode!$B$24,RLT[#Headers],0))</definedName>
    <definedName name="DynDD_S3_DP01" comment="Dynamic Dropdown List for Sheet 3 Duty Position 01">INDEX(RLT[],0,MATCH(DevMode!$B$29,RLT[#Headers],0))</definedName>
    <definedName name="DynDD_S3_DP02" comment="Dynamic Dropdown List for Sheet 3 Duty Position 02">INDEX(RLT[],0,MATCH(DevMode!$B$31,RLT[#Headers],0))</definedName>
    <definedName name="DynDD_S3_DP03" comment="Dynamic Dropdown List for Sheet 3 Duty Position 03">INDEX(RLT[],0,MATCH(DevMode!$B$33,RLT[#Headers],0))</definedName>
    <definedName name="DynDD_S4_DP01" comment="Dynamic Dropdown List for Sheet 4 Duty Position 01">INDEX(RLT[],0,MATCH(DevMode!$B$38,RLT[#Headers],0))</definedName>
    <definedName name="DynDD_S4_DP02" comment="Dynamic Dropdown List for Sheet 4 Duty Position 02">INDEX(RLT[],0,MATCH(DevMode!$B$40,RLT[#Headers],0))</definedName>
    <definedName name="DynDD_S4_DP03" comment="Dynamic Dropdown List for Sheet 4 Duty Position 03">INDEX(RLT[],0,MATCH(DevMode!$B$42,RLT[#Headers],0))</definedName>
    <definedName name="DynDD_S4_DP04" comment="Dynamic Dropdown List for Sheet 4 Duty Position 04">INDEX(RLT[],0,MATCH(DevMode!$B$44,RLT[#Headers],0))</definedName>
    <definedName name="DynDD_S4_DP05" comment="Dynamic Dropdown List for Sheet 4 Duty Position 05">INDEX(RLT[],0,MATCH(DevMode!$B$46,RLT[#Headers],0))</definedName>
    <definedName name="DynDD_S4_DP06" comment="Dynamic Dropdown List for Sheet 4 Duty Position 06">INDEX(RLT[],0,MATCH(DevMode!$B$48,RLT[#Headers],0))</definedName>
    <definedName name="DynDD_S5_DP01" comment="Dynamic Dropdown List for Sheet 5 Duty Position 01">INDEX(RLT[],0,MATCH(DevMode!$B$53,RLT[#Headers],0))</definedName>
    <definedName name="DynDD_S5_DP02" comment="Dynamic Dropdown List for Sheet 5 Duty Position 02">INDEX(RLT[],0,MATCH(DevMode!$B$55,RLT[#Headers],0))</definedName>
    <definedName name="DynDD_S5_DP03" comment="Dynamic Dropdown List for Sheet 5 Duty Position 03">INDEX(RLT[],0,MATCH(DevMode!$B$57,RLT[#Headers],0))</definedName>
    <definedName name="DynDD_S5_DP04" comment="Dynamic Dropdown List for Sheet 5 Duty Position 04">INDEX(RLT[],0,MATCH(DevMode!$B$59,RLT[#Headers],0))</definedName>
    <definedName name="End">MASTER!$R$2</definedName>
    <definedName name="Numbs">Summary!#REF!</definedName>
    <definedName name="Perc">Summary!#REF!</definedName>
    <definedName name="_xlnm.Print_Area" localSheetId="1">MASTER!$A$1:$V$87</definedName>
    <definedName name="_xlnm.Print_Area" localSheetId="2">Sheet2!$A$1:$J$68</definedName>
    <definedName name="_xlnm.Print_Area" localSheetId="3">Sheet3!$A$1:$J$15</definedName>
    <definedName name="_xlnm.Print_Area" localSheetId="4">Sheet4!$A$1:$S$68</definedName>
    <definedName name="_xlnm.Print_Area" localSheetId="5">Sheet5!$A$1:$M$68</definedName>
    <definedName name="_xlnm.Print_Area" localSheetId="6">Summary!$A$1:$O$57</definedName>
    <definedName name="Start">MASTER!$L$2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64" i="1" l="1"/>
  <c r="G63" i="1"/>
  <c r="G62" i="1"/>
  <c r="G61" i="1"/>
  <c r="G65" i="1"/>
  <c r="J65" i="1"/>
  <c r="J64" i="1"/>
  <c r="J63" i="1"/>
  <c r="J62" i="1"/>
  <c r="J61" i="1"/>
  <c r="D65" i="1"/>
  <c r="D64" i="1"/>
  <c r="D63" i="1"/>
  <c r="D62" i="1"/>
  <c r="D61" i="1"/>
  <c r="A14" i="2"/>
  <c r="A12" i="2"/>
  <c r="L94" i="6" l="1"/>
  <c r="A8" i="6"/>
  <c r="A7" i="6"/>
  <c r="A6" i="6"/>
  <c r="A5" i="6"/>
  <c r="A4" i="6"/>
  <c r="A3" i="6"/>
  <c r="A2" i="6"/>
  <c r="E60" i="1" l="1"/>
  <c r="H60" i="1" s="1"/>
  <c r="K60" i="1" s="1"/>
  <c r="N60" i="1" s="1"/>
  <c r="Q60" i="1" s="1"/>
  <c r="T60" i="1" s="1"/>
  <c r="B60" i="1"/>
  <c r="E46" i="1"/>
  <c r="B46" i="1"/>
  <c r="E32" i="1"/>
  <c r="B32" i="1"/>
  <c r="E18" i="1"/>
  <c r="B18" i="1"/>
  <c r="T4" i="1"/>
  <c r="Q4" i="1"/>
  <c r="N4" i="1"/>
  <c r="K4" i="1"/>
  <c r="H4" i="1"/>
  <c r="E4" i="1"/>
  <c r="B4" i="1"/>
  <c r="A58" i="5"/>
  <c r="A56" i="5"/>
  <c r="A54" i="5"/>
  <c r="A52" i="5"/>
  <c r="A50" i="5"/>
  <c r="A48" i="5"/>
  <c r="A46" i="5"/>
  <c r="A44" i="5"/>
  <c r="A42" i="5"/>
  <c r="A40" i="5"/>
  <c r="A38" i="5"/>
  <c r="A36" i="5"/>
  <c r="A34" i="5"/>
  <c r="A32" i="5"/>
  <c r="A30" i="5"/>
  <c r="A28" i="5"/>
  <c r="A26" i="5"/>
  <c r="A24" i="5"/>
  <c r="A22" i="5"/>
  <c r="A20" i="5"/>
  <c r="A18" i="5"/>
  <c r="A16" i="5"/>
  <c r="A14" i="5"/>
  <c r="A12" i="5"/>
  <c r="A10" i="5"/>
  <c r="A8" i="5"/>
  <c r="A6" i="5"/>
  <c r="A4" i="5"/>
  <c r="A62" i="4"/>
  <c r="A64" i="4" s="1"/>
  <c r="A60" i="4"/>
  <c r="A58" i="4"/>
  <c r="A56" i="4"/>
  <c r="A54" i="4"/>
  <c r="A52" i="4"/>
  <c r="A50" i="4"/>
  <c r="A48" i="4"/>
  <c r="A46" i="4"/>
  <c r="A44" i="4"/>
  <c r="A42" i="4"/>
  <c r="A40" i="4"/>
  <c r="A38" i="4"/>
  <c r="A36" i="4"/>
  <c r="A34" i="4"/>
  <c r="A32" i="4"/>
  <c r="A30" i="4"/>
  <c r="A28" i="4"/>
  <c r="A26" i="4"/>
  <c r="A24" i="4"/>
  <c r="A22" i="4"/>
  <c r="A20" i="4"/>
  <c r="A18" i="4"/>
  <c r="A16" i="4"/>
  <c r="A14" i="4"/>
  <c r="A12" i="4"/>
  <c r="A10" i="4"/>
  <c r="A8" i="4"/>
  <c r="A6" i="4"/>
  <c r="A4" i="4"/>
  <c r="A10" i="2"/>
  <c r="A8" i="2"/>
  <c r="A6" i="2"/>
  <c r="A4" i="2"/>
  <c r="G92" i="6" l="1"/>
  <c r="L114" i="6" l="1"/>
  <c r="H114" i="6"/>
  <c r="A50" i="7"/>
  <c r="A35" i="7"/>
  <c r="A26" i="7"/>
  <c r="A17" i="7"/>
  <c r="K2" i="5"/>
  <c r="H2" i="5"/>
  <c r="E2" i="5"/>
  <c r="B2" i="5"/>
  <c r="A1" i="5"/>
  <c r="Q2" i="4"/>
  <c r="N2" i="4"/>
  <c r="K2" i="4"/>
  <c r="H2" i="4"/>
  <c r="E2" i="4"/>
  <c r="B2" i="4"/>
  <c r="A1" i="4"/>
  <c r="H2" i="3"/>
  <c r="E2" i="3"/>
  <c r="B2" i="3"/>
  <c r="A1" i="3"/>
  <c r="H2" i="2"/>
  <c r="E2" i="2"/>
  <c r="B2" i="2"/>
  <c r="A1" i="2"/>
  <c r="A1" i="1"/>
  <c r="J11" i="6" l="1"/>
  <c r="K33" i="6" s="1"/>
  <c r="A35" i="6"/>
  <c r="B57" i="6" s="1"/>
  <c r="D35" i="6"/>
  <c r="E57" i="6" s="1"/>
  <c r="G35" i="6"/>
  <c r="H57" i="6" s="1"/>
  <c r="D92" i="6"/>
  <c r="A92" i="6"/>
  <c r="J68" i="6"/>
  <c r="K60" i="6"/>
  <c r="K61" i="6"/>
  <c r="K62" i="6"/>
  <c r="K63" i="6"/>
  <c r="K64" i="6"/>
  <c r="K65" i="6"/>
  <c r="K66" i="6"/>
  <c r="G68" i="6"/>
  <c r="G11" i="6"/>
  <c r="H33" i="6" s="1"/>
  <c r="D68" i="6"/>
  <c r="A68" i="6"/>
  <c r="D11" i="6"/>
  <c r="E33" i="6" s="1"/>
  <c r="A11" i="6"/>
  <c r="B33" i="6" s="1"/>
  <c r="N1" i="6"/>
  <c r="M1" i="6"/>
  <c r="L1" i="6"/>
  <c r="K1" i="6"/>
  <c r="J1" i="6"/>
  <c r="I1" i="6"/>
  <c r="H1" i="6"/>
  <c r="G1" i="6"/>
  <c r="F1" i="6"/>
  <c r="E1" i="6"/>
  <c r="D1" i="6"/>
  <c r="C1" i="6"/>
  <c r="B1" i="6"/>
  <c r="A75" i="1"/>
  <c r="A76" i="1"/>
  <c r="A77" i="1"/>
  <c r="A78" i="1"/>
  <c r="A79" i="1"/>
  <c r="A80" i="1"/>
  <c r="A81" i="1"/>
  <c r="A82" i="1"/>
  <c r="A83" i="1"/>
  <c r="A84" i="1"/>
  <c r="A85" i="1"/>
  <c r="A86" i="1"/>
  <c r="A87" i="1"/>
  <c r="A61" i="1"/>
  <c r="A62" i="1"/>
  <c r="A63" i="1"/>
  <c r="A64" i="1"/>
  <c r="A65" i="1"/>
  <c r="A66" i="1"/>
  <c r="A67" i="1"/>
  <c r="A68" i="1"/>
  <c r="A69" i="1"/>
  <c r="A70" i="1"/>
  <c r="A71" i="1"/>
  <c r="A72" i="1"/>
  <c r="A73" i="1"/>
  <c r="A47" i="1"/>
  <c r="A48" i="1"/>
  <c r="A49" i="1"/>
  <c r="A50" i="1"/>
  <c r="A51" i="1"/>
  <c r="A52" i="1"/>
  <c r="A53" i="1"/>
  <c r="A54" i="1"/>
  <c r="A55" i="1"/>
  <c r="A56" i="1"/>
  <c r="A57" i="1"/>
  <c r="A58" i="1"/>
  <c r="A59" i="1"/>
  <c r="A33" i="1"/>
  <c r="A34" i="1"/>
  <c r="A35" i="1"/>
  <c r="A36" i="1"/>
  <c r="A37" i="1"/>
  <c r="A38" i="1"/>
  <c r="A39" i="1"/>
  <c r="A40" i="1"/>
  <c r="A41" i="1"/>
  <c r="A42" i="1"/>
  <c r="A43" i="1"/>
  <c r="A44" i="1"/>
  <c r="A45" i="1"/>
  <c r="A19" i="1"/>
  <c r="A20" i="1"/>
  <c r="A21" i="1"/>
  <c r="A22" i="1"/>
  <c r="A23" i="1"/>
  <c r="A24" i="1"/>
  <c r="A25" i="1"/>
  <c r="A26" i="1"/>
  <c r="A27" i="1"/>
  <c r="A28" i="1"/>
  <c r="A29" i="1"/>
  <c r="A30" i="1"/>
  <c r="A31" i="1"/>
  <c r="A6" i="1"/>
  <c r="A7" i="1"/>
  <c r="A8" i="1"/>
  <c r="A9" i="1"/>
  <c r="A10" i="1"/>
  <c r="A11" i="1"/>
  <c r="A12" i="1"/>
  <c r="A13" i="1"/>
  <c r="A14" i="1"/>
  <c r="A15" i="1"/>
  <c r="A16" i="1"/>
  <c r="A17" i="1"/>
  <c r="A5" i="1"/>
  <c r="E90" i="6" l="1"/>
  <c r="L109" i="6"/>
  <c r="H90" i="6"/>
  <c r="L110" i="6"/>
  <c r="K90" i="6"/>
  <c r="L111" i="6"/>
  <c r="E114" i="6"/>
  <c r="L113" i="6"/>
  <c r="B90" i="6"/>
  <c r="L108" i="6"/>
  <c r="B114" i="6"/>
  <c r="L112" i="6"/>
  <c r="K70" i="6"/>
  <c r="D99" i="6" l="1"/>
  <c r="D100" i="6"/>
  <c r="D101" i="6"/>
  <c r="D102" i="6"/>
  <c r="D103" i="6"/>
  <c r="D104" i="6"/>
  <c r="D105" i="6"/>
  <c r="D106" i="6"/>
  <c r="D107" i="6"/>
  <c r="E99" i="6"/>
  <c r="E100" i="6"/>
  <c r="E101" i="6"/>
  <c r="E102" i="6"/>
  <c r="E103" i="6"/>
  <c r="E104" i="6"/>
  <c r="E105" i="6"/>
  <c r="E106" i="6"/>
  <c r="E107" i="6"/>
  <c r="E94" i="6"/>
  <c r="E95" i="6"/>
  <c r="E96" i="6"/>
  <c r="H113" i="6" l="1"/>
  <c r="H112" i="6"/>
  <c r="H111" i="6"/>
  <c r="H110" i="6"/>
  <c r="H109" i="6"/>
  <c r="H108" i="6"/>
  <c r="H107" i="6"/>
  <c r="H106" i="6"/>
  <c r="H105" i="6"/>
  <c r="H104" i="6"/>
  <c r="H103" i="6"/>
  <c r="H102" i="6"/>
  <c r="H101" i="6"/>
  <c r="H100" i="6"/>
  <c r="H99" i="6"/>
  <c r="H98" i="6"/>
  <c r="H97" i="6"/>
  <c r="H96" i="6"/>
  <c r="H95" i="6"/>
  <c r="H94" i="6"/>
  <c r="G113" i="6"/>
  <c r="G112" i="6"/>
  <c r="G111" i="6"/>
  <c r="G110" i="6"/>
  <c r="G109" i="6"/>
  <c r="G108" i="6"/>
  <c r="G107" i="6"/>
  <c r="G106" i="6"/>
  <c r="G105" i="6"/>
  <c r="G104" i="6"/>
  <c r="G103" i="6"/>
  <c r="G102" i="6"/>
  <c r="G101" i="6"/>
  <c r="G100" i="6"/>
  <c r="G99" i="6"/>
  <c r="G98" i="6"/>
  <c r="G97" i="6"/>
  <c r="G96" i="6"/>
  <c r="G95" i="6"/>
  <c r="G94" i="6"/>
  <c r="E113" i="6"/>
  <c r="E112" i="6"/>
  <c r="E111" i="6"/>
  <c r="E110" i="6"/>
  <c r="E109" i="6"/>
  <c r="E108" i="6"/>
  <c r="E98" i="6"/>
  <c r="E97" i="6"/>
  <c r="D113" i="6"/>
  <c r="D112" i="6"/>
  <c r="D111" i="6"/>
  <c r="D110" i="6"/>
  <c r="D109" i="6"/>
  <c r="D108" i="6"/>
  <c r="D98" i="6"/>
  <c r="D97" i="6"/>
  <c r="D96" i="6"/>
  <c r="D95" i="6"/>
  <c r="D94" i="6"/>
  <c r="B113" i="6"/>
  <c r="B112" i="6"/>
  <c r="B111" i="6"/>
  <c r="B110" i="6"/>
  <c r="B109" i="6"/>
  <c r="B108" i="6"/>
  <c r="B107" i="6"/>
  <c r="B106" i="6"/>
  <c r="B105" i="6"/>
  <c r="B104" i="6"/>
  <c r="B103" i="6"/>
  <c r="B102" i="6"/>
  <c r="B101" i="6"/>
  <c r="B100" i="6"/>
  <c r="B99" i="6"/>
  <c r="B98" i="6"/>
  <c r="B97" i="6"/>
  <c r="B96" i="6"/>
  <c r="B95" i="6"/>
  <c r="B94" i="6"/>
  <c r="A113" i="6"/>
  <c r="A112" i="6"/>
  <c r="A111" i="6"/>
  <c r="A110" i="6"/>
  <c r="A109" i="6"/>
  <c r="A108" i="6"/>
  <c r="A107" i="6"/>
  <c r="A106" i="6"/>
  <c r="A105" i="6"/>
  <c r="A104" i="6"/>
  <c r="A103" i="6"/>
  <c r="A102" i="6"/>
  <c r="A101" i="6"/>
  <c r="A100" i="6"/>
  <c r="A99" i="6"/>
  <c r="A98" i="6"/>
  <c r="A97" i="6"/>
  <c r="A96" i="6"/>
  <c r="A95" i="6"/>
  <c r="A94" i="6"/>
  <c r="K89" i="6"/>
  <c r="K88" i="6"/>
  <c r="K87" i="6"/>
  <c r="K86" i="6"/>
  <c r="K85" i="6"/>
  <c r="K84" i="6"/>
  <c r="K83" i="6"/>
  <c r="K82" i="6"/>
  <c r="K81" i="6"/>
  <c r="K80" i="6"/>
  <c r="K79" i="6"/>
  <c r="K78" i="6"/>
  <c r="K77" i="6"/>
  <c r="K76" i="6"/>
  <c r="K75" i="6"/>
  <c r="K74" i="6"/>
  <c r="K73" i="6"/>
  <c r="K72" i="6"/>
  <c r="K71" i="6"/>
  <c r="J89" i="6"/>
  <c r="J88" i="6"/>
  <c r="J87" i="6"/>
  <c r="J86" i="6"/>
  <c r="J85" i="6"/>
  <c r="J84" i="6"/>
  <c r="J83" i="6"/>
  <c r="J82" i="6"/>
  <c r="J81" i="6"/>
  <c r="J80" i="6"/>
  <c r="J79" i="6"/>
  <c r="J78" i="6"/>
  <c r="J77" i="6"/>
  <c r="J76" i="6"/>
  <c r="J75" i="6"/>
  <c r="J74" i="6"/>
  <c r="J73" i="6"/>
  <c r="J72" i="6"/>
  <c r="J71" i="6"/>
  <c r="J70" i="6"/>
  <c r="H89" i="6"/>
  <c r="H88" i="6"/>
  <c r="H87" i="6"/>
  <c r="H86" i="6"/>
  <c r="H85" i="6"/>
  <c r="H84" i="6"/>
  <c r="H83" i="6"/>
  <c r="H82" i="6"/>
  <c r="H81" i="6"/>
  <c r="H80" i="6"/>
  <c r="H79" i="6"/>
  <c r="H78" i="6"/>
  <c r="H77" i="6"/>
  <c r="H76" i="6"/>
  <c r="H75" i="6"/>
  <c r="H74" i="6"/>
  <c r="H73" i="6"/>
  <c r="H72" i="6"/>
  <c r="H71" i="6"/>
  <c r="H70" i="6"/>
  <c r="G89" i="6"/>
  <c r="G88" i="6"/>
  <c r="G87" i="6"/>
  <c r="G86" i="6"/>
  <c r="G85" i="6"/>
  <c r="G84" i="6"/>
  <c r="G83" i="6"/>
  <c r="G82" i="6"/>
  <c r="G81" i="6"/>
  <c r="G80" i="6"/>
  <c r="G79" i="6"/>
  <c r="G78" i="6"/>
  <c r="G77" i="6"/>
  <c r="G76" i="6"/>
  <c r="G75" i="6"/>
  <c r="G74" i="6"/>
  <c r="G73" i="6"/>
  <c r="G72" i="6"/>
  <c r="G71" i="6"/>
  <c r="G70" i="6"/>
  <c r="E89" i="6"/>
  <c r="E88" i="6"/>
  <c r="E87" i="6"/>
  <c r="E86" i="6"/>
  <c r="E85" i="6"/>
  <c r="E84" i="6"/>
  <c r="E83" i="6"/>
  <c r="E82" i="6"/>
  <c r="E81" i="6"/>
  <c r="E80" i="6"/>
  <c r="E79" i="6"/>
  <c r="E78" i="6"/>
  <c r="E77" i="6"/>
  <c r="E76" i="6"/>
  <c r="E75" i="6"/>
  <c r="E74" i="6"/>
  <c r="E73" i="6"/>
  <c r="E72" i="6"/>
  <c r="E71" i="6"/>
  <c r="E70" i="6"/>
  <c r="D89" i="6"/>
  <c r="D88" i="6"/>
  <c r="D87" i="6"/>
  <c r="D86" i="6"/>
  <c r="D85" i="6"/>
  <c r="D84" i="6"/>
  <c r="D83" i="6"/>
  <c r="D82" i="6"/>
  <c r="D81" i="6"/>
  <c r="D80" i="6"/>
  <c r="D79" i="6"/>
  <c r="D78" i="6"/>
  <c r="D77" i="6"/>
  <c r="D76" i="6"/>
  <c r="D75" i="6"/>
  <c r="D74" i="6"/>
  <c r="D73" i="6"/>
  <c r="D72" i="6"/>
  <c r="D71" i="6"/>
  <c r="D70" i="6"/>
  <c r="B89" i="6"/>
  <c r="B88" i="6"/>
  <c r="B87" i="6"/>
  <c r="B86" i="6"/>
  <c r="B85" i="6"/>
  <c r="B84" i="6"/>
  <c r="B83" i="6"/>
  <c r="B82" i="6"/>
  <c r="B81" i="6"/>
  <c r="B80" i="6"/>
  <c r="B79" i="6"/>
  <c r="B78" i="6"/>
  <c r="B77" i="6"/>
  <c r="B76" i="6"/>
  <c r="B75" i="6"/>
  <c r="B74" i="6"/>
  <c r="B73" i="6"/>
  <c r="B72" i="6"/>
  <c r="B71" i="6"/>
  <c r="B70" i="6"/>
  <c r="A89" i="6"/>
  <c r="A88" i="6"/>
  <c r="A87" i="6"/>
  <c r="A86" i="6"/>
  <c r="A85" i="6"/>
  <c r="A84" i="6"/>
  <c r="A83" i="6"/>
  <c r="A82" i="6"/>
  <c r="A81" i="6"/>
  <c r="A80" i="6"/>
  <c r="A79" i="6"/>
  <c r="A78" i="6"/>
  <c r="A77" i="6"/>
  <c r="A76" i="6"/>
  <c r="A75" i="6"/>
  <c r="A74" i="6"/>
  <c r="A73" i="6"/>
  <c r="A72" i="6"/>
  <c r="A71" i="6"/>
  <c r="A70" i="6"/>
  <c r="L63" i="6" l="1"/>
  <c r="L62" i="6"/>
  <c r="L61" i="6"/>
  <c r="L60" i="6"/>
  <c r="L64" i="6"/>
  <c r="L66" i="6"/>
  <c r="L65" i="6"/>
  <c r="J66" i="6" l="1"/>
  <c r="J64" i="6"/>
  <c r="J61" i="6"/>
  <c r="J65" i="6"/>
  <c r="J63" i="6" l="1"/>
  <c r="J62" i="6"/>
  <c r="L97" i="6" l="1"/>
  <c r="J60" i="6"/>
  <c r="L93" i="6"/>
  <c r="L36" i="6" s="1"/>
  <c r="L40" i="6" l="1"/>
  <c r="L101" i="6"/>
  <c r="L42" i="6" s="1"/>
  <c r="N8" i="6"/>
  <c r="M8" i="6"/>
  <c r="L8" i="6"/>
  <c r="K8" i="6"/>
  <c r="J8" i="6"/>
  <c r="I8" i="6"/>
  <c r="H8" i="6"/>
  <c r="G8" i="6"/>
  <c r="F8" i="6"/>
  <c r="E8" i="6"/>
  <c r="D8" i="6"/>
  <c r="C8" i="6"/>
  <c r="B8" i="6"/>
  <c r="N7" i="6"/>
  <c r="M7" i="6"/>
  <c r="L7" i="6"/>
  <c r="K7" i="6"/>
  <c r="J7" i="6"/>
  <c r="I7" i="6"/>
  <c r="H7" i="6"/>
  <c r="G7" i="6"/>
  <c r="F7" i="6"/>
  <c r="E7" i="6"/>
  <c r="D7" i="6"/>
  <c r="C7" i="6"/>
  <c r="B7" i="6"/>
  <c r="N6" i="6"/>
  <c r="M6" i="6"/>
  <c r="L6" i="6"/>
  <c r="K6" i="6"/>
  <c r="J6" i="6"/>
  <c r="I6" i="6"/>
  <c r="H6" i="6"/>
  <c r="G6" i="6"/>
  <c r="F6" i="6"/>
  <c r="E6" i="6"/>
  <c r="D6" i="6"/>
  <c r="C6" i="6"/>
  <c r="B6" i="6"/>
  <c r="N5" i="6"/>
  <c r="M5" i="6"/>
  <c r="L5" i="6"/>
  <c r="K5" i="6"/>
  <c r="J5" i="6"/>
  <c r="I5" i="6"/>
  <c r="H5" i="6"/>
  <c r="G5" i="6"/>
  <c r="F5" i="6"/>
  <c r="E5" i="6"/>
  <c r="D5" i="6"/>
  <c r="C5" i="6"/>
  <c r="B5" i="6"/>
  <c r="N4" i="6"/>
  <c r="M4" i="6"/>
  <c r="L4" i="6"/>
  <c r="K4" i="6"/>
  <c r="J4" i="6"/>
  <c r="I4" i="6"/>
  <c r="H4" i="6"/>
  <c r="G4" i="6"/>
  <c r="F4" i="6"/>
  <c r="E4" i="6"/>
  <c r="D4" i="6"/>
  <c r="C4" i="6"/>
  <c r="B4" i="6"/>
  <c r="N3" i="6"/>
  <c r="M3" i="6"/>
  <c r="L3" i="6"/>
  <c r="K3" i="6"/>
  <c r="J3" i="6"/>
  <c r="I3" i="6"/>
  <c r="H3" i="6"/>
  <c r="G3" i="6"/>
  <c r="F3" i="6"/>
  <c r="E3" i="6"/>
  <c r="D3" i="6"/>
  <c r="C3" i="6"/>
  <c r="B3" i="6"/>
  <c r="N2" i="6"/>
  <c r="M2" i="6"/>
  <c r="L2" i="6"/>
  <c r="K2" i="6"/>
  <c r="J2" i="6"/>
  <c r="I2" i="6"/>
  <c r="H2" i="6"/>
  <c r="G2" i="6"/>
  <c r="F2" i="6"/>
  <c r="E2" i="6"/>
  <c r="D2" i="6"/>
  <c r="C2" i="6"/>
  <c r="B2" i="6"/>
  <c r="Q3" i="6" l="1"/>
  <c r="Q7" i="6"/>
  <c r="Q4" i="6"/>
  <c r="Q8" i="6"/>
  <c r="Q5" i="6"/>
  <c r="Q2" i="6"/>
  <c r="Q6" i="6"/>
  <c r="O2" i="6"/>
  <c r="O6" i="6"/>
  <c r="L41" i="6"/>
  <c r="O7" i="6"/>
  <c r="O3" i="6"/>
  <c r="O4" i="6"/>
  <c r="O8" i="6"/>
  <c r="O5" i="6"/>
  <c r="A2" i="5"/>
  <c r="A2" i="4"/>
  <c r="A2" i="3"/>
  <c r="A60" i="5" l="1"/>
  <c r="A62" i="5" s="1"/>
  <c r="A64" i="5" s="1"/>
  <c r="A2" i="2" l="1"/>
  <c r="L2" i="1"/>
  <c r="F2" i="1" s="1"/>
  <c r="C17" i="1" l="1"/>
  <c r="C11" i="1"/>
  <c r="C15" i="1"/>
  <c r="D8" i="1"/>
  <c r="E13" i="1"/>
  <c r="D17" i="1"/>
  <c r="B10" i="1"/>
  <c r="B15" i="1"/>
  <c r="D12" i="1"/>
  <c r="C16" i="1"/>
  <c r="B9" i="1"/>
  <c r="C10" i="1"/>
  <c r="D11" i="1"/>
  <c r="B13" i="1"/>
  <c r="B14" i="1"/>
  <c r="D16" i="1"/>
  <c r="B8" i="1"/>
  <c r="C9" i="1"/>
  <c r="D10" i="1"/>
  <c r="B12" i="1"/>
  <c r="C13" i="1"/>
  <c r="C14" i="1"/>
  <c r="D15" i="1"/>
  <c r="B17" i="1"/>
  <c r="C8" i="1"/>
  <c r="D9" i="1"/>
  <c r="B11" i="1"/>
  <c r="C12" i="1"/>
  <c r="D13" i="1"/>
  <c r="D14" i="1"/>
  <c r="B16" i="1"/>
  <c r="R2" i="1"/>
  <c r="H17" i="1" l="1"/>
  <c r="G8" i="1"/>
  <c r="G11" i="1"/>
  <c r="G10" i="1"/>
  <c r="G9" i="1"/>
  <c r="L37" i="6"/>
  <c r="G13" i="1"/>
  <c r="F13" i="1"/>
  <c r="E14" i="1"/>
  <c r="G16" i="1"/>
  <c r="E16" i="1"/>
  <c r="E12" i="1"/>
  <c r="E10" i="1"/>
  <c r="E11" i="1"/>
  <c r="F12" i="1"/>
  <c r="E15" i="1"/>
  <c r="F17" i="1"/>
  <c r="E9" i="1"/>
  <c r="E8" i="1"/>
  <c r="G15" i="1"/>
  <c r="F8" i="1"/>
  <c r="G17" i="1"/>
  <c r="G12" i="1"/>
  <c r="F16" i="1"/>
  <c r="F10" i="1"/>
  <c r="F11" i="1"/>
  <c r="F15" i="1"/>
  <c r="G14" i="1"/>
  <c r="F9" i="1"/>
  <c r="F14" i="1"/>
  <c r="E17" i="1"/>
  <c r="J11" i="1" l="1"/>
  <c r="H14" i="1"/>
  <c r="I10" i="1"/>
  <c r="J17" i="1"/>
  <c r="H9" i="1"/>
  <c r="H10" i="1"/>
  <c r="I14" i="1"/>
  <c r="I8" i="1"/>
  <c r="J14" i="1"/>
  <c r="L17" i="1"/>
  <c r="I12" i="1"/>
  <c r="I15" i="1"/>
  <c r="H11" i="1"/>
  <c r="I11" i="1"/>
  <c r="H13" i="1"/>
  <c r="J10" i="1"/>
  <c r="H16" i="1"/>
  <c r="J12" i="1"/>
  <c r="I16" i="1"/>
  <c r="J13" i="1"/>
  <c r="H15" i="1"/>
  <c r="I9" i="1"/>
  <c r="J15" i="1"/>
  <c r="J8" i="1"/>
  <c r="H8" i="1"/>
  <c r="H12" i="1"/>
  <c r="I17" i="1"/>
  <c r="I13" i="1"/>
  <c r="J9" i="1"/>
  <c r="J16" i="1"/>
  <c r="K13" i="1"/>
  <c r="L12" i="1"/>
  <c r="K14" i="1" l="1"/>
  <c r="M12" i="1"/>
  <c r="L16" i="1"/>
  <c r="K16" i="1"/>
  <c r="K9" i="1"/>
  <c r="M13" i="1"/>
  <c r="M8" i="1"/>
  <c r="K8" i="1"/>
  <c r="M17" i="1"/>
  <c r="L14" i="1"/>
  <c r="L8" i="1"/>
  <c r="M9" i="1"/>
  <c r="L11" i="1"/>
  <c r="K15" i="1"/>
  <c r="K17" i="1"/>
  <c r="M16" i="1"/>
  <c r="L9" i="1"/>
  <c r="K11" i="1"/>
  <c r="K12" i="1"/>
  <c r="M14" i="1"/>
  <c r="P17" i="1"/>
  <c r="H115" i="6"/>
  <c r="I46" i="6" s="1"/>
  <c r="L13" i="1"/>
  <c r="K10" i="1"/>
  <c r="M11" i="1"/>
  <c r="L10" i="1"/>
  <c r="M10" i="1"/>
  <c r="M15" i="1"/>
  <c r="L15" i="1"/>
  <c r="B115" i="6"/>
  <c r="E115" i="6"/>
  <c r="H91" i="6"/>
  <c r="K91" i="6"/>
  <c r="B91" i="6"/>
  <c r="E91" i="6"/>
  <c r="N13" i="1"/>
  <c r="O11" i="1"/>
  <c r="N15" i="1"/>
  <c r="P12" i="1"/>
  <c r="I103" i="6" l="1"/>
  <c r="N8" i="1"/>
  <c r="P15" i="1"/>
  <c r="O8" i="1"/>
  <c r="P9" i="1"/>
  <c r="N12" i="1"/>
  <c r="P14" i="1"/>
  <c r="N11" i="1"/>
  <c r="P13" i="1"/>
  <c r="O13" i="1"/>
  <c r="P16" i="1"/>
  <c r="O14" i="1"/>
  <c r="P11" i="1"/>
  <c r="O15" i="1"/>
  <c r="O17" i="1"/>
  <c r="P8" i="1"/>
  <c r="N14" i="1"/>
  <c r="N9" i="1"/>
  <c r="O16" i="1"/>
  <c r="O10" i="1"/>
  <c r="O9" i="1"/>
  <c r="N10" i="1"/>
  <c r="P10" i="1"/>
  <c r="N17" i="1"/>
  <c r="O12" i="1"/>
  <c r="N16" i="1"/>
  <c r="I110" i="6"/>
  <c r="I112" i="6"/>
  <c r="I106" i="6"/>
  <c r="I99" i="6"/>
  <c r="I52" i="6"/>
  <c r="I53" i="6"/>
  <c r="I38" i="6"/>
  <c r="I109" i="6"/>
  <c r="I96" i="6"/>
  <c r="I48" i="6"/>
  <c r="I41" i="6"/>
  <c r="I101" i="6"/>
  <c r="I113" i="6"/>
  <c r="I45" i="6"/>
  <c r="I55" i="6"/>
  <c r="I39" i="6"/>
  <c r="I44" i="6"/>
  <c r="I42" i="6"/>
  <c r="I94" i="6"/>
  <c r="I104" i="6"/>
  <c r="I97" i="6"/>
  <c r="I51" i="6"/>
  <c r="I54" i="6"/>
  <c r="I108" i="6"/>
  <c r="I102" i="6"/>
  <c r="I111" i="6"/>
  <c r="I40" i="6"/>
  <c r="I47" i="6"/>
  <c r="I50" i="6"/>
  <c r="I95" i="6"/>
  <c r="I107" i="6"/>
  <c r="I105" i="6"/>
  <c r="I100" i="6"/>
  <c r="I98" i="6"/>
  <c r="I49" i="6"/>
  <c r="I37" i="6"/>
  <c r="I43" i="6"/>
  <c r="I56" i="6"/>
  <c r="C40" i="6"/>
  <c r="C44" i="6"/>
  <c r="C48" i="6"/>
  <c r="C52" i="6"/>
  <c r="C56" i="6"/>
  <c r="C42" i="6"/>
  <c r="C50" i="6"/>
  <c r="C43" i="6"/>
  <c r="C55" i="6"/>
  <c r="C41" i="6"/>
  <c r="C45" i="6"/>
  <c r="C49" i="6"/>
  <c r="C53" i="6"/>
  <c r="C38" i="6"/>
  <c r="C46" i="6"/>
  <c r="C54" i="6"/>
  <c r="C39" i="6"/>
  <c r="C47" i="6"/>
  <c r="C51" i="6"/>
  <c r="C37" i="6"/>
  <c r="L17" i="6"/>
  <c r="L21" i="6"/>
  <c r="L25" i="6"/>
  <c r="L29" i="6"/>
  <c r="L13" i="6"/>
  <c r="L15" i="6"/>
  <c r="L23" i="6"/>
  <c r="L31" i="6"/>
  <c r="L20" i="6"/>
  <c r="L32" i="6"/>
  <c r="L14" i="6"/>
  <c r="L18" i="6"/>
  <c r="L22" i="6"/>
  <c r="L26" i="6"/>
  <c r="L30" i="6"/>
  <c r="L19" i="6"/>
  <c r="L27" i="6"/>
  <c r="L16" i="6"/>
  <c r="L28" i="6"/>
  <c r="L24" i="6"/>
  <c r="C16" i="6"/>
  <c r="C20" i="6"/>
  <c r="C24" i="6"/>
  <c r="C28" i="6"/>
  <c r="C32" i="6"/>
  <c r="C18" i="6"/>
  <c r="C26" i="6"/>
  <c r="C15" i="6"/>
  <c r="C27" i="6"/>
  <c r="C13" i="6"/>
  <c r="C17" i="6"/>
  <c r="C21" i="6"/>
  <c r="C25" i="6"/>
  <c r="C29" i="6"/>
  <c r="C14" i="6"/>
  <c r="C22" i="6"/>
  <c r="C30" i="6"/>
  <c r="C19" i="6"/>
  <c r="C31" i="6"/>
  <c r="C23" i="6"/>
  <c r="I14" i="6"/>
  <c r="I18" i="6"/>
  <c r="I22" i="6"/>
  <c r="I26" i="6"/>
  <c r="I30" i="6"/>
  <c r="I20" i="6"/>
  <c r="I28" i="6"/>
  <c r="I21" i="6"/>
  <c r="I15" i="6"/>
  <c r="I19" i="6"/>
  <c r="I23" i="6"/>
  <c r="I27" i="6"/>
  <c r="I31" i="6"/>
  <c r="I13" i="6"/>
  <c r="I16" i="6"/>
  <c r="I24" i="6"/>
  <c r="I32" i="6"/>
  <c r="I17" i="6"/>
  <c r="I29" i="6"/>
  <c r="I25" i="6"/>
  <c r="F15" i="6"/>
  <c r="F19" i="6"/>
  <c r="F23" i="6"/>
  <c r="F27" i="6"/>
  <c r="F31" i="6"/>
  <c r="F17" i="6"/>
  <c r="F29" i="6"/>
  <c r="F14" i="6"/>
  <c r="F22" i="6"/>
  <c r="F16" i="6"/>
  <c r="F20" i="6"/>
  <c r="F24" i="6"/>
  <c r="F28" i="6"/>
  <c r="F32" i="6"/>
  <c r="F25" i="6"/>
  <c r="F13" i="6"/>
  <c r="F26" i="6"/>
  <c r="F21" i="6"/>
  <c r="F18" i="6"/>
  <c r="F30" i="6"/>
  <c r="F39" i="6"/>
  <c r="F43" i="6"/>
  <c r="F47" i="6"/>
  <c r="F51" i="6"/>
  <c r="F55" i="6"/>
  <c r="F45" i="6"/>
  <c r="F53" i="6"/>
  <c r="F37" i="6"/>
  <c r="F42" i="6"/>
  <c r="F54" i="6"/>
  <c r="F40" i="6"/>
  <c r="F44" i="6"/>
  <c r="F48" i="6"/>
  <c r="F52" i="6"/>
  <c r="F56" i="6"/>
  <c r="F41" i="6"/>
  <c r="F49" i="6"/>
  <c r="F38" i="6"/>
  <c r="F50" i="6"/>
  <c r="F46" i="6"/>
  <c r="L95" i="6"/>
  <c r="L38" i="6" s="1"/>
  <c r="C70" i="6"/>
  <c r="I72" i="6"/>
  <c r="C98" i="6"/>
  <c r="C113" i="6"/>
  <c r="C103" i="6"/>
  <c r="C112" i="6"/>
  <c r="C110" i="6"/>
  <c r="C71" i="6"/>
  <c r="L96" i="6"/>
  <c r="L100" i="6" s="1"/>
  <c r="L99" i="6"/>
  <c r="C100" i="6"/>
  <c r="C94" i="6"/>
  <c r="C106" i="6"/>
  <c r="C105" i="6"/>
  <c r="C99" i="6"/>
  <c r="C96" i="6"/>
  <c r="C108" i="6"/>
  <c r="C109" i="6"/>
  <c r="C102" i="6"/>
  <c r="C101" i="6"/>
  <c r="C111" i="6"/>
  <c r="C95" i="6"/>
  <c r="C107" i="6"/>
  <c r="C104" i="6"/>
  <c r="C97" i="6"/>
  <c r="I84" i="6"/>
  <c r="F111" i="6"/>
  <c r="F100" i="6"/>
  <c r="F97" i="6"/>
  <c r="F101" i="6"/>
  <c r="F98" i="6"/>
  <c r="F103" i="6"/>
  <c r="F104" i="6"/>
  <c r="F109" i="6"/>
  <c r="F105" i="6"/>
  <c r="F106" i="6"/>
  <c r="F107" i="6"/>
  <c r="F108" i="6"/>
  <c r="F102" i="6"/>
  <c r="F113" i="6"/>
  <c r="F95" i="6"/>
  <c r="F96" i="6"/>
  <c r="F112" i="6"/>
  <c r="F110" i="6"/>
  <c r="F94" i="6"/>
  <c r="F99" i="6"/>
  <c r="I73" i="6"/>
  <c r="I71" i="6"/>
  <c r="I77" i="6"/>
  <c r="I70" i="6"/>
  <c r="I85" i="6"/>
  <c r="I86" i="6"/>
  <c r="I82" i="6"/>
  <c r="I80" i="6"/>
  <c r="I83" i="6"/>
  <c r="I74" i="6"/>
  <c r="I87" i="6"/>
  <c r="I79" i="6"/>
  <c r="I76" i="6"/>
  <c r="I88" i="6"/>
  <c r="I89" i="6"/>
  <c r="I78" i="6"/>
  <c r="I81" i="6"/>
  <c r="I75" i="6"/>
  <c r="C81" i="6"/>
  <c r="L87" i="6"/>
  <c r="L80" i="6"/>
  <c r="L76" i="6"/>
  <c r="L88" i="6"/>
  <c r="L72" i="6"/>
  <c r="L84" i="6"/>
  <c r="L73" i="6"/>
  <c r="L89" i="6"/>
  <c r="L82" i="6"/>
  <c r="L79" i="6"/>
  <c r="L81" i="6"/>
  <c r="L71" i="6"/>
  <c r="L85" i="6"/>
  <c r="L77" i="6"/>
  <c r="L70" i="6"/>
  <c r="L86" i="6"/>
  <c r="L83" i="6"/>
  <c r="L74" i="6"/>
  <c r="L78" i="6"/>
  <c r="L75" i="6"/>
  <c r="C88" i="6"/>
  <c r="C76" i="6"/>
  <c r="C73" i="6"/>
  <c r="C80" i="6"/>
  <c r="F87" i="6"/>
  <c r="F72" i="6"/>
  <c r="F88" i="6"/>
  <c r="F70" i="6"/>
  <c r="F86" i="6"/>
  <c r="F75" i="6"/>
  <c r="F73" i="6"/>
  <c r="F80" i="6"/>
  <c r="F78" i="6"/>
  <c r="F83" i="6"/>
  <c r="F85" i="6"/>
  <c r="F71" i="6"/>
  <c r="F76" i="6"/>
  <c r="F74" i="6"/>
  <c r="F77" i="6"/>
  <c r="F79" i="6"/>
  <c r="F81" i="6"/>
  <c r="F89" i="6"/>
  <c r="F84" i="6"/>
  <c r="F82" i="6"/>
  <c r="M4" i="3"/>
  <c r="S17" i="1"/>
  <c r="S16" i="1"/>
  <c r="Q14" i="1"/>
  <c r="R17" i="1"/>
  <c r="R16" i="1"/>
  <c r="S15" i="1"/>
  <c r="Q17" i="1"/>
  <c r="R13" i="1"/>
  <c r="S12" i="1"/>
  <c r="Q10" i="1"/>
  <c r="R9" i="1"/>
  <c r="S8" i="1"/>
  <c r="Q16" i="1"/>
  <c r="R15" i="1"/>
  <c r="Q13" i="1"/>
  <c r="R12" i="1"/>
  <c r="S11" i="1"/>
  <c r="Q9" i="1"/>
  <c r="Q15" i="1"/>
  <c r="S14" i="1"/>
  <c r="S13" i="1"/>
  <c r="Q8" i="1"/>
  <c r="R10" i="1"/>
  <c r="R8" i="1"/>
  <c r="R14" i="1"/>
  <c r="Q12" i="1"/>
  <c r="R11" i="1"/>
  <c r="S10" i="1"/>
  <c r="S9" i="1"/>
  <c r="Q11" i="1"/>
  <c r="I114" i="6" l="1"/>
  <c r="G115" i="6" s="1"/>
  <c r="C83" i="6"/>
  <c r="C75" i="6"/>
  <c r="C86" i="6"/>
  <c r="C74" i="6"/>
  <c r="C72" i="6"/>
  <c r="C82" i="6"/>
  <c r="C79" i="6"/>
  <c r="C77" i="6"/>
  <c r="C89" i="6"/>
  <c r="C78" i="6"/>
  <c r="C84" i="6"/>
  <c r="C87" i="6"/>
  <c r="C85" i="6"/>
  <c r="C114" i="6"/>
  <c r="A115" i="6" s="1"/>
  <c r="F114" i="6"/>
  <c r="D115" i="6" s="1"/>
  <c r="I90" i="6"/>
  <c r="G91" i="6" s="1"/>
  <c r="L90" i="6"/>
  <c r="J91" i="6" s="1"/>
  <c r="F90" i="6"/>
  <c r="D91" i="6" s="1"/>
  <c r="T17" i="1"/>
  <c r="U17" i="1"/>
  <c r="T15" i="1"/>
  <c r="U14" i="1"/>
  <c r="V16" i="1"/>
  <c r="T16" i="1"/>
  <c r="U15" i="1"/>
  <c r="V14" i="1"/>
  <c r="V13" i="1"/>
  <c r="T11" i="1"/>
  <c r="U10" i="1"/>
  <c r="V9" i="1"/>
  <c r="T14" i="1"/>
  <c r="U13" i="1"/>
  <c r="V12" i="1"/>
  <c r="T10" i="1"/>
  <c r="U9" i="1"/>
  <c r="V17" i="1"/>
  <c r="T12" i="1"/>
  <c r="U11" i="1"/>
  <c r="V10" i="1"/>
  <c r="T9" i="1"/>
  <c r="V8" i="1"/>
  <c r="T8" i="1"/>
  <c r="V15" i="1"/>
  <c r="U16" i="1"/>
  <c r="U8" i="1"/>
  <c r="T13" i="1"/>
  <c r="U12" i="1"/>
  <c r="V11" i="1"/>
  <c r="I57" i="6" l="1"/>
  <c r="D31" i="1"/>
  <c r="B29" i="1"/>
  <c r="C28" i="1"/>
  <c r="C31" i="1"/>
  <c r="D30" i="1"/>
  <c r="B28" i="1"/>
  <c r="C29" i="1"/>
  <c r="C30" i="1"/>
  <c r="B30" i="1"/>
  <c r="D27" i="1"/>
  <c r="B25" i="1"/>
  <c r="C24" i="1"/>
  <c r="D23" i="1"/>
  <c r="B31" i="1"/>
  <c r="D29" i="1"/>
  <c r="C27" i="1"/>
  <c r="D26" i="1"/>
  <c r="B24" i="1"/>
  <c r="C23" i="1"/>
  <c r="D22" i="1"/>
  <c r="D28" i="1"/>
  <c r="B26" i="1"/>
  <c r="D24" i="1"/>
  <c r="B23" i="1"/>
  <c r="B27" i="1"/>
  <c r="D25" i="1"/>
  <c r="C22" i="1"/>
  <c r="C25" i="1"/>
  <c r="B22" i="1"/>
  <c r="C26" i="1"/>
  <c r="H18" i="1"/>
  <c r="K18" i="1" s="1"/>
  <c r="N18" i="1" s="1"/>
  <c r="Q18" i="1" s="1"/>
  <c r="L33" i="6" l="1"/>
  <c r="P5" i="6" s="1"/>
  <c r="I33" i="6"/>
  <c r="P4" i="6" s="1"/>
  <c r="F33" i="6"/>
  <c r="P3" i="6" s="1"/>
  <c r="P8" i="6"/>
  <c r="C57" i="6"/>
  <c r="F57" i="6"/>
  <c r="E30" i="1"/>
  <c r="F29" i="1"/>
  <c r="G28" i="1"/>
  <c r="G31" i="1"/>
  <c r="E29" i="1"/>
  <c r="F28" i="1"/>
  <c r="F30" i="1"/>
  <c r="F31" i="1"/>
  <c r="E28" i="1"/>
  <c r="E31" i="1"/>
  <c r="G29" i="1"/>
  <c r="E26" i="1"/>
  <c r="F25" i="1"/>
  <c r="G24" i="1"/>
  <c r="E22" i="1"/>
  <c r="G27" i="1"/>
  <c r="E25" i="1"/>
  <c r="F24" i="1"/>
  <c r="G23" i="1"/>
  <c r="E27" i="1"/>
  <c r="G25" i="1"/>
  <c r="F22" i="1"/>
  <c r="F26" i="1"/>
  <c r="E24" i="1"/>
  <c r="G30" i="1"/>
  <c r="G26" i="1"/>
  <c r="F23" i="1"/>
  <c r="E23" i="1"/>
  <c r="F27" i="1"/>
  <c r="G22" i="1"/>
  <c r="P7" i="6" l="1"/>
  <c r="P6" i="6"/>
  <c r="H31" i="1"/>
  <c r="I30" i="1"/>
  <c r="J29" i="1"/>
  <c r="H30" i="1"/>
  <c r="I29" i="1"/>
  <c r="J28" i="1"/>
  <c r="I31" i="1"/>
  <c r="H28" i="1"/>
  <c r="H29" i="1"/>
  <c r="J30" i="1"/>
  <c r="J31" i="1"/>
  <c r="H27" i="1"/>
  <c r="I26" i="1"/>
  <c r="J25" i="1"/>
  <c r="H23" i="1"/>
  <c r="I22" i="1"/>
  <c r="I28" i="1"/>
  <c r="H26" i="1"/>
  <c r="I25" i="1"/>
  <c r="J24" i="1"/>
  <c r="H22" i="1"/>
  <c r="J26" i="1"/>
  <c r="I23" i="1"/>
  <c r="I27" i="1"/>
  <c r="J27" i="1"/>
  <c r="I24" i="1"/>
  <c r="H24" i="1"/>
  <c r="J22" i="1"/>
  <c r="J23" i="1"/>
  <c r="H25" i="1"/>
  <c r="L31" i="1" l="1"/>
  <c r="M30" i="1"/>
  <c r="K28" i="1"/>
  <c r="K31" i="1"/>
  <c r="L30" i="1"/>
  <c r="M29" i="1"/>
  <c r="K29" i="1"/>
  <c r="K30" i="1"/>
  <c r="M28" i="1"/>
  <c r="M31" i="1"/>
  <c r="L28" i="1"/>
  <c r="L27" i="1"/>
  <c r="M26" i="1"/>
  <c r="K24" i="1"/>
  <c r="L23" i="1"/>
  <c r="M22" i="1"/>
  <c r="K27" i="1"/>
  <c r="L26" i="1"/>
  <c r="M25" i="1"/>
  <c r="K23" i="1"/>
  <c r="L22" i="1"/>
  <c r="M27" i="1"/>
  <c r="L24" i="1"/>
  <c r="M23" i="1"/>
  <c r="L25" i="1"/>
  <c r="K22" i="1"/>
  <c r="K26" i="1"/>
  <c r="L29" i="1"/>
  <c r="K25" i="1"/>
  <c r="M24" i="1"/>
  <c r="P31" i="1" l="1"/>
  <c r="N29" i="1"/>
  <c r="O28" i="1"/>
  <c r="O31" i="1"/>
  <c r="P30" i="1"/>
  <c r="N28" i="1"/>
  <c r="N30" i="1"/>
  <c r="P28" i="1"/>
  <c r="N31" i="1"/>
  <c r="P29" i="1"/>
  <c r="P27" i="1"/>
  <c r="N25" i="1"/>
  <c r="O24" i="1"/>
  <c r="P23" i="1"/>
  <c r="O27" i="1"/>
  <c r="P26" i="1"/>
  <c r="N24" i="1"/>
  <c r="O23" i="1"/>
  <c r="P22" i="1"/>
  <c r="O30" i="1"/>
  <c r="O29" i="1"/>
  <c r="O25" i="1"/>
  <c r="N22" i="1"/>
  <c r="P24" i="1"/>
  <c r="P25" i="1"/>
  <c r="O26" i="1"/>
  <c r="N23" i="1"/>
  <c r="N26" i="1"/>
  <c r="N27" i="1"/>
  <c r="O22" i="1"/>
  <c r="T18" i="1"/>
  <c r="Q30" i="1" l="1"/>
  <c r="R29" i="1"/>
  <c r="S28" i="1"/>
  <c r="S31" i="1"/>
  <c r="Q29" i="1"/>
  <c r="R28" i="1"/>
  <c r="Q31" i="1"/>
  <c r="S29" i="1"/>
  <c r="S30" i="1"/>
  <c r="R30" i="1"/>
  <c r="Q26" i="1"/>
  <c r="R25" i="1"/>
  <c r="S24" i="1"/>
  <c r="Q22" i="1"/>
  <c r="S27" i="1"/>
  <c r="Q25" i="1"/>
  <c r="R24" i="1"/>
  <c r="S23" i="1"/>
  <c r="R31" i="1"/>
  <c r="R26" i="1"/>
  <c r="Q23" i="1"/>
  <c r="S25" i="1"/>
  <c r="R22" i="1"/>
  <c r="S26" i="1"/>
  <c r="R27" i="1"/>
  <c r="Q24" i="1"/>
  <c r="S22" i="1"/>
  <c r="Q27" i="1"/>
  <c r="R23" i="1"/>
  <c r="Q28" i="1"/>
  <c r="M5" i="3"/>
  <c r="T31" i="1" l="1"/>
  <c r="U31" i="1"/>
  <c r="U30" i="1"/>
  <c r="V29" i="1"/>
  <c r="T30" i="1"/>
  <c r="U29" i="1"/>
  <c r="V28" i="1"/>
  <c r="V30" i="1"/>
  <c r="U28" i="1"/>
  <c r="V31" i="1"/>
  <c r="T27" i="1"/>
  <c r="U26" i="1"/>
  <c r="V25" i="1"/>
  <c r="T23" i="1"/>
  <c r="U22" i="1"/>
  <c r="T29" i="1"/>
  <c r="T26" i="1"/>
  <c r="U25" i="1"/>
  <c r="V24" i="1"/>
  <c r="T22" i="1"/>
  <c r="T28" i="1"/>
  <c r="U27" i="1"/>
  <c r="T24" i="1"/>
  <c r="V22" i="1"/>
  <c r="V27" i="1"/>
  <c r="T25" i="1"/>
  <c r="V23" i="1"/>
  <c r="U24" i="1"/>
  <c r="V26" i="1"/>
  <c r="U23" i="1"/>
  <c r="D45" i="1" l="1"/>
  <c r="B43" i="1"/>
  <c r="C42" i="1"/>
  <c r="D44" i="1"/>
  <c r="D43" i="1"/>
  <c r="D42" i="1"/>
  <c r="D41" i="1"/>
  <c r="B39" i="1"/>
  <c r="C45" i="1"/>
  <c r="C44" i="1"/>
  <c r="C43" i="1"/>
  <c r="B42" i="1"/>
  <c r="B45" i="1"/>
  <c r="B44" i="1"/>
  <c r="D40" i="1"/>
  <c r="D39" i="1"/>
  <c r="B37" i="1"/>
  <c r="C36" i="1"/>
  <c r="C41" i="1"/>
  <c r="C40" i="1"/>
  <c r="C39" i="1"/>
  <c r="D38" i="1"/>
  <c r="B36" i="1"/>
  <c r="C37" i="1"/>
  <c r="D37" i="1"/>
  <c r="B41" i="1"/>
  <c r="B40" i="1"/>
  <c r="C38" i="1"/>
  <c r="B38" i="1"/>
  <c r="D36" i="1"/>
  <c r="H32" i="1"/>
  <c r="K32" i="1" s="1"/>
  <c r="N32" i="1" s="1"/>
  <c r="Q32" i="1" s="1"/>
  <c r="E44" i="1" l="1"/>
  <c r="F43" i="1"/>
  <c r="G42" i="1"/>
  <c r="F45" i="1"/>
  <c r="F44" i="1"/>
  <c r="E43" i="1"/>
  <c r="E42" i="1"/>
  <c r="E45" i="1"/>
  <c r="G45" i="1"/>
  <c r="G44" i="1"/>
  <c r="G43" i="1"/>
  <c r="F42" i="1"/>
  <c r="E40" i="1"/>
  <c r="F39" i="1"/>
  <c r="E41" i="1"/>
  <c r="E38" i="1"/>
  <c r="F37" i="1"/>
  <c r="G36" i="1"/>
  <c r="E37" i="1"/>
  <c r="F36" i="1"/>
  <c r="F41" i="1"/>
  <c r="F40" i="1"/>
  <c r="E39" i="1"/>
  <c r="F38" i="1"/>
  <c r="E36" i="1"/>
  <c r="G37" i="1"/>
  <c r="G40" i="1"/>
  <c r="G38" i="1"/>
  <c r="G41" i="1"/>
  <c r="G39" i="1"/>
  <c r="H45" i="1" l="1"/>
  <c r="I44" i="1"/>
  <c r="J43" i="1"/>
  <c r="J42" i="1"/>
  <c r="J45" i="1"/>
  <c r="J44" i="1"/>
  <c r="I43" i="1"/>
  <c r="I42" i="1"/>
  <c r="H41" i="1"/>
  <c r="I40" i="1"/>
  <c r="J39" i="1"/>
  <c r="I45" i="1"/>
  <c r="H43" i="1"/>
  <c r="J41" i="1"/>
  <c r="J40" i="1"/>
  <c r="I39" i="1"/>
  <c r="I38" i="1"/>
  <c r="J37" i="1"/>
  <c r="I41" i="1"/>
  <c r="H40" i="1"/>
  <c r="H39" i="1"/>
  <c r="H38" i="1"/>
  <c r="I37" i="1"/>
  <c r="J36" i="1"/>
  <c r="H44" i="1"/>
  <c r="H42" i="1"/>
  <c r="H36" i="1"/>
  <c r="H37" i="1"/>
  <c r="I36" i="1"/>
  <c r="J38" i="1"/>
  <c r="L45" i="1" l="1"/>
  <c r="M44" i="1"/>
  <c r="K42" i="1"/>
  <c r="K45" i="1"/>
  <c r="K44" i="1"/>
  <c r="K43" i="1"/>
  <c r="L41" i="1"/>
  <c r="M40" i="1"/>
  <c r="K38" i="1"/>
  <c r="M43" i="1"/>
  <c r="M42" i="1"/>
  <c r="M45" i="1"/>
  <c r="L44" i="1"/>
  <c r="L43" i="1"/>
  <c r="L42" i="1"/>
  <c r="K36" i="1"/>
  <c r="M39" i="1"/>
  <c r="M38" i="1"/>
  <c r="M37" i="1"/>
  <c r="K37" i="1"/>
  <c r="K40" i="1"/>
  <c r="K39" i="1"/>
  <c r="L36" i="1"/>
  <c r="M41" i="1"/>
  <c r="L40" i="1"/>
  <c r="L39" i="1"/>
  <c r="L38" i="1"/>
  <c r="M36" i="1"/>
  <c r="K41" i="1"/>
  <c r="L37" i="1"/>
  <c r="P45" i="1" l="1"/>
  <c r="N43" i="1"/>
  <c r="O42" i="1"/>
  <c r="P44" i="1"/>
  <c r="P43" i="1"/>
  <c r="P42" i="1"/>
  <c r="O45" i="1"/>
  <c r="O44" i="1"/>
  <c r="O43" i="1"/>
  <c r="N42" i="1"/>
  <c r="P41" i="1"/>
  <c r="N39" i="1"/>
  <c r="O38" i="1"/>
  <c r="N45" i="1"/>
  <c r="N44" i="1"/>
  <c r="O41" i="1"/>
  <c r="O40" i="1"/>
  <c r="O39" i="1"/>
  <c r="N38" i="1"/>
  <c r="N37" i="1"/>
  <c r="O36" i="1"/>
  <c r="N41" i="1"/>
  <c r="N40" i="1"/>
  <c r="N36" i="1"/>
  <c r="P40" i="1"/>
  <c r="P39" i="1"/>
  <c r="P38" i="1"/>
  <c r="P36" i="1"/>
  <c r="O37" i="1"/>
  <c r="P37" i="1"/>
  <c r="T32" i="1"/>
  <c r="Q44" i="1" l="1"/>
  <c r="R43" i="1"/>
  <c r="S42" i="1"/>
  <c r="Q45" i="1"/>
  <c r="R45" i="1"/>
  <c r="R44" i="1"/>
  <c r="Q43" i="1"/>
  <c r="Q42" i="1"/>
  <c r="Q40" i="1"/>
  <c r="R39" i="1"/>
  <c r="S38" i="1"/>
  <c r="R37" i="1"/>
  <c r="S36" i="1"/>
  <c r="S44" i="1"/>
  <c r="R42" i="1"/>
  <c r="S41" i="1"/>
  <c r="S40" i="1"/>
  <c r="S39" i="1"/>
  <c r="R38" i="1"/>
  <c r="Q37" i="1"/>
  <c r="R36" i="1"/>
  <c r="Q41" i="1"/>
  <c r="S37" i="1"/>
  <c r="R40" i="1"/>
  <c r="Q38" i="1"/>
  <c r="S43" i="1"/>
  <c r="R41" i="1"/>
  <c r="S45" i="1"/>
  <c r="Q39" i="1"/>
  <c r="Q36" i="1"/>
  <c r="M6" i="3"/>
  <c r="T45" i="1" l="1"/>
  <c r="U44" i="1"/>
  <c r="V43" i="1"/>
  <c r="V45" i="1"/>
  <c r="V44" i="1"/>
  <c r="U43" i="1"/>
  <c r="U42" i="1"/>
  <c r="U45" i="1"/>
  <c r="T44" i="1"/>
  <c r="T43" i="1"/>
  <c r="T42" i="1"/>
  <c r="T41" i="1"/>
  <c r="U40" i="1"/>
  <c r="V39" i="1"/>
  <c r="V42" i="1"/>
  <c r="U41" i="1"/>
  <c r="T40" i="1"/>
  <c r="T39" i="1"/>
  <c r="T38" i="1"/>
  <c r="V37" i="1"/>
  <c r="U37" i="1"/>
  <c r="V36" i="1"/>
  <c r="V41" i="1"/>
  <c r="V38" i="1"/>
  <c r="U36" i="1"/>
  <c r="U39" i="1"/>
  <c r="U38" i="1"/>
  <c r="V40" i="1"/>
  <c r="T36" i="1"/>
  <c r="T37" i="1"/>
  <c r="D59" i="1" l="1"/>
  <c r="B57" i="1"/>
  <c r="C56" i="1"/>
  <c r="B59" i="1"/>
  <c r="B58" i="1"/>
  <c r="B55" i="1"/>
  <c r="C54" i="1"/>
  <c r="D53" i="1"/>
  <c r="B51" i="1"/>
  <c r="C50" i="1"/>
  <c r="D58" i="1"/>
  <c r="D57" i="1"/>
  <c r="D56" i="1"/>
  <c r="C59" i="1"/>
  <c r="C58" i="1"/>
  <c r="C57" i="1"/>
  <c r="B56" i="1"/>
  <c r="D52" i="1"/>
  <c r="D51" i="1"/>
  <c r="D50" i="1"/>
  <c r="B52" i="1"/>
  <c r="D55" i="1"/>
  <c r="D54" i="1"/>
  <c r="C53" i="1"/>
  <c r="C52" i="1"/>
  <c r="C51" i="1"/>
  <c r="B50" i="1"/>
  <c r="C55" i="1"/>
  <c r="B53" i="1"/>
  <c r="B54" i="1"/>
  <c r="H46" i="1"/>
  <c r="K46" i="1" s="1"/>
  <c r="N46" i="1" s="1"/>
  <c r="E58" i="1" l="1"/>
  <c r="F57" i="1"/>
  <c r="G56" i="1"/>
  <c r="G59" i="1"/>
  <c r="G58" i="1"/>
  <c r="G57" i="1"/>
  <c r="F56" i="1"/>
  <c r="F59" i="1"/>
  <c r="F58" i="1"/>
  <c r="E57" i="1"/>
  <c r="E56" i="1"/>
  <c r="F55" i="1"/>
  <c r="G54" i="1"/>
  <c r="E52" i="1"/>
  <c r="F51" i="1"/>
  <c r="G50" i="1"/>
  <c r="E59" i="1"/>
  <c r="G55" i="1"/>
  <c r="F54" i="1"/>
  <c r="F53" i="1"/>
  <c r="F52" i="1"/>
  <c r="E51" i="1"/>
  <c r="E50" i="1"/>
  <c r="E55" i="1"/>
  <c r="E54" i="1"/>
  <c r="E53" i="1"/>
  <c r="G53" i="1"/>
  <c r="G52" i="1"/>
  <c r="G51" i="1"/>
  <c r="F50" i="1"/>
  <c r="H59" i="1" l="1"/>
  <c r="I58" i="1"/>
  <c r="J57" i="1"/>
  <c r="J56" i="1"/>
  <c r="I59" i="1"/>
  <c r="H58" i="1"/>
  <c r="H57" i="1"/>
  <c r="H56" i="1"/>
  <c r="J55" i="1"/>
  <c r="H53" i="1"/>
  <c r="I52" i="1"/>
  <c r="J51" i="1"/>
  <c r="J59" i="1"/>
  <c r="I57" i="1"/>
  <c r="J50" i="1"/>
  <c r="J54" i="1"/>
  <c r="J53" i="1"/>
  <c r="J52" i="1"/>
  <c r="I51" i="1"/>
  <c r="I50" i="1"/>
  <c r="J58" i="1"/>
  <c r="I56" i="1"/>
  <c r="H55" i="1"/>
  <c r="H54" i="1"/>
  <c r="I53" i="1"/>
  <c r="H50" i="1"/>
  <c r="I54" i="1"/>
  <c r="H52" i="1"/>
  <c r="H51" i="1"/>
  <c r="I55" i="1"/>
  <c r="L59" i="1" l="1"/>
  <c r="M58" i="1"/>
  <c r="K56" i="1"/>
  <c r="M59" i="1"/>
  <c r="L58" i="1"/>
  <c r="L57" i="1"/>
  <c r="L56" i="1"/>
  <c r="K59" i="1"/>
  <c r="K58" i="1"/>
  <c r="K57" i="1"/>
  <c r="K54" i="1"/>
  <c r="L53" i="1"/>
  <c r="M52" i="1"/>
  <c r="K50" i="1"/>
  <c r="M57" i="1"/>
  <c r="M56" i="1"/>
  <c r="L55" i="1"/>
  <c r="L54" i="1"/>
  <c r="K53" i="1"/>
  <c r="K52" i="1"/>
  <c r="K51" i="1"/>
  <c r="K55" i="1"/>
  <c r="M53" i="1"/>
  <c r="M51" i="1"/>
  <c r="M50" i="1"/>
  <c r="M55" i="1"/>
  <c r="M54" i="1"/>
  <c r="L52" i="1"/>
  <c r="L51" i="1"/>
  <c r="L50" i="1"/>
  <c r="Q46" i="1"/>
  <c r="T46" i="1" s="1"/>
  <c r="P59" i="1" l="1"/>
  <c r="N57" i="1"/>
  <c r="O56" i="1"/>
  <c r="P58" i="1"/>
  <c r="P57" i="1"/>
  <c r="P56" i="1"/>
  <c r="N55" i="1"/>
  <c r="O54" i="1"/>
  <c r="P53" i="1"/>
  <c r="N51" i="1"/>
  <c r="O50" i="1"/>
  <c r="O59" i="1"/>
  <c r="O58" i="1"/>
  <c r="O57" i="1"/>
  <c r="N56" i="1"/>
  <c r="N59" i="1"/>
  <c r="N58" i="1"/>
  <c r="P52" i="1"/>
  <c r="P51" i="1"/>
  <c r="P50" i="1"/>
  <c r="P55" i="1"/>
  <c r="P54" i="1"/>
  <c r="O53" i="1"/>
  <c r="O52" i="1"/>
  <c r="O51" i="1"/>
  <c r="N50" i="1"/>
  <c r="O55" i="1"/>
  <c r="N54" i="1"/>
  <c r="N53" i="1"/>
  <c r="N52" i="1"/>
  <c r="Q58" i="1" l="1"/>
  <c r="R57" i="1"/>
  <c r="S56" i="1"/>
  <c r="R59" i="1"/>
  <c r="R58" i="1"/>
  <c r="Q57" i="1"/>
  <c r="Q56" i="1"/>
  <c r="Q59" i="1"/>
  <c r="S59" i="1"/>
  <c r="S58" i="1"/>
  <c r="S57" i="1"/>
  <c r="R56" i="1"/>
  <c r="R55" i="1"/>
  <c r="S54" i="1"/>
  <c r="Q52" i="1"/>
  <c r="R51" i="1"/>
  <c r="S50" i="1"/>
  <c r="Q55" i="1"/>
  <c r="Q54" i="1"/>
  <c r="Q53" i="1"/>
  <c r="S55" i="1"/>
  <c r="R54" i="1"/>
  <c r="R53" i="1"/>
  <c r="R52" i="1"/>
  <c r="Q51" i="1"/>
  <c r="Q50" i="1"/>
  <c r="S51" i="1"/>
  <c r="S53" i="1"/>
  <c r="S52" i="1"/>
  <c r="R50" i="1"/>
  <c r="M7" i="3"/>
  <c r="T59" i="1" l="1"/>
  <c r="U58" i="1"/>
  <c r="V57" i="1"/>
  <c r="V56" i="1"/>
  <c r="V59" i="1"/>
  <c r="V58" i="1"/>
  <c r="U57" i="1"/>
  <c r="U56" i="1"/>
  <c r="V55" i="1"/>
  <c r="T53" i="1"/>
  <c r="U52" i="1"/>
  <c r="V51" i="1"/>
  <c r="V54" i="1"/>
  <c r="V53" i="1"/>
  <c r="V52" i="1"/>
  <c r="U51" i="1"/>
  <c r="U50" i="1"/>
  <c r="T58" i="1"/>
  <c r="T56" i="1"/>
  <c r="U55" i="1"/>
  <c r="U54" i="1"/>
  <c r="U53" i="1"/>
  <c r="T52" i="1"/>
  <c r="T51" i="1"/>
  <c r="T50" i="1"/>
  <c r="U59" i="1"/>
  <c r="V50" i="1"/>
  <c r="T54" i="1"/>
  <c r="T57" i="1"/>
  <c r="T55" i="1"/>
  <c r="D73" i="1" l="1"/>
  <c r="B71" i="1"/>
  <c r="C70" i="1"/>
  <c r="C73" i="1"/>
  <c r="C72" i="1"/>
  <c r="C71" i="1"/>
  <c r="B70" i="1"/>
  <c r="B73" i="1"/>
  <c r="B72" i="1"/>
  <c r="D69" i="1"/>
  <c r="B67" i="1"/>
  <c r="C66" i="1"/>
  <c r="D72" i="1"/>
  <c r="D71" i="1"/>
  <c r="D70" i="1"/>
  <c r="C69" i="1"/>
  <c r="C68" i="1"/>
  <c r="C67" i="1"/>
  <c r="B66" i="1"/>
  <c r="B65" i="1"/>
  <c r="B64" i="1"/>
  <c r="B69" i="1"/>
  <c r="B68" i="1"/>
  <c r="D68" i="1"/>
  <c r="D67" i="1"/>
  <c r="D66" i="1"/>
  <c r="C65" i="1"/>
  <c r="C64" i="1"/>
  <c r="E72" i="1" l="1"/>
  <c r="F71" i="1"/>
  <c r="G70" i="1"/>
  <c r="G73" i="1"/>
  <c r="G72" i="1"/>
  <c r="G71" i="1"/>
  <c r="F70" i="1"/>
  <c r="E68" i="1"/>
  <c r="F67" i="1"/>
  <c r="G66" i="1"/>
  <c r="E64" i="1"/>
  <c r="F73" i="1"/>
  <c r="F72" i="1"/>
  <c r="E71" i="1"/>
  <c r="E70" i="1"/>
  <c r="E73" i="1"/>
  <c r="G69" i="1"/>
  <c r="G68" i="1"/>
  <c r="G67" i="1"/>
  <c r="F66" i="1"/>
  <c r="F65" i="1"/>
  <c r="F64" i="1"/>
  <c r="E69" i="1"/>
  <c r="F69" i="1"/>
  <c r="F68" i="1"/>
  <c r="E67" i="1"/>
  <c r="E66" i="1"/>
  <c r="E65" i="1"/>
  <c r="H73" i="1" l="1"/>
  <c r="I72" i="1"/>
  <c r="J71" i="1"/>
  <c r="I73" i="1"/>
  <c r="H72" i="1"/>
  <c r="H71" i="1"/>
  <c r="H70" i="1"/>
  <c r="J73" i="1"/>
  <c r="J72" i="1"/>
  <c r="I71" i="1"/>
  <c r="I70" i="1"/>
  <c r="H69" i="1"/>
  <c r="I68" i="1"/>
  <c r="J67" i="1"/>
  <c r="H65" i="1"/>
  <c r="I64" i="1"/>
  <c r="I69" i="1"/>
  <c r="H68" i="1"/>
  <c r="H67" i="1"/>
  <c r="H66" i="1"/>
  <c r="J70" i="1"/>
  <c r="J69" i="1"/>
  <c r="J68" i="1"/>
  <c r="I67" i="1"/>
  <c r="I66" i="1"/>
  <c r="I65" i="1"/>
  <c r="H64" i="1"/>
  <c r="J66" i="1"/>
  <c r="L73" i="1" l="1"/>
  <c r="M72" i="1"/>
  <c r="K70" i="1"/>
  <c r="M71" i="1"/>
  <c r="M70" i="1"/>
  <c r="M73" i="1"/>
  <c r="L72" i="1"/>
  <c r="L71" i="1"/>
  <c r="L70" i="1"/>
  <c r="L69" i="1"/>
  <c r="M68" i="1"/>
  <c r="K66" i="1"/>
  <c r="L65" i="1"/>
  <c r="M64" i="1"/>
  <c r="K73" i="1"/>
  <c r="K71" i="1"/>
  <c r="M67" i="1"/>
  <c r="M66" i="1"/>
  <c r="M65" i="1"/>
  <c r="L64" i="1"/>
  <c r="M69" i="1"/>
  <c r="L68" i="1"/>
  <c r="L67" i="1"/>
  <c r="L66" i="1"/>
  <c r="K65" i="1"/>
  <c r="K64" i="1"/>
  <c r="K72" i="1"/>
  <c r="K69" i="1"/>
  <c r="K67" i="1"/>
  <c r="K68" i="1"/>
  <c r="P73" i="1" l="1"/>
  <c r="N71" i="1"/>
  <c r="O70" i="1"/>
  <c r="N73" i="1"/>
  <c r="N72" i="1"/>
  <c r="P69" i="1"/>
  <c r="N67" i="1"/>
  <c r="O66" i="1"/>
  <c r="P65" i="1"/>
  <c r="P72" i="1"/>
  <c r="P71" i="1"/>
  <c r="P70" i="1"/>
  <c r="O73" i="1"/>
  <c r="O72" i="1"/>
  <c r="O71" i="1"/>
  <c r="N70" i="1"/>
  <c r="N69" i="1"/>
  <c r="N68" i="1"/>
  <c r="P64" i="1"/>
  <c r="O69" i="1"/>
  <c r="O68" i="1"/>
  <c r="N65" i="1"/>
  <c r="N64" i="1"/>
  <c r="P68" i="1"/>
  <c r="P67" i="1"/>
  <c r="P66" i="1"/>
  <c r="O65" i="1"/>
  <c r="O64" i="1"/>
  <c r="O67" i="1"/>
  <c r="N66" i="1"/>
  <c r="Q72" i="1" l="1"/>
  <c r="R71" i="1"/>
  <c r="S70" i="1"/>
  <c r="S73" i="1"/>
  <c r="S72" i="1"/>
  <c r="S71" i="1"/>
  <c r="R70" i="1"/>
  <c r="R73" i="1"/>
  <c r="R72" i="1"/>
  <c r="Q71" i="1"/>
  <c r="Q70" i="1"/>
  <c r="Q68" i="1"/>
  <c r="R67" i="1"/>
  <c r="S66" i="1"/>
  <c r="Q64" i="1"/>
  <c r="Q73" i="1"/>
  <c r="S69" i="1"/>
  <c r="S68" i="1"/>
  <c r="S67" i="1"/>
  <c r="R66" i="1"/>
  <c r="R65" i="1"/>
  <c r="R64" i="1"/>
  <c r="R69" i="1"/>
  <c r="R68" i="1"/>
  <c r="Q67" i="1"/>
  <c r="Q66" i="1"/>
  <c r="Q65" i="1"/>
  <c r="S65" i="1"/>
  <c r="S64" i="1"/>
  <c r="Q69" i="1"/>
  <c r="M8" i="3" l="1"/>
  <c r="B74" i="1"/>
  <c r="E74" i="1" s="1"/>
  <c r="H74" i="1" s="1"/>
  <c r="K74" i="1" s="1"/>
  <c r="N74" i="1" s="1"/>
  <c r="Q74" i="1" s="1"/>
  <c r="T74" i="1" s="1"/>
  <c r="T73" i="1"/>
  <c r="U72" i="1"/>
  <c r="V71" i="1"/>
  <c r="V70" i="1"/>
  <c r="U73" i="1"/>
  <c r="T72" i="1"/>
  <c r="T71" i="1"/>
  <c r="T70" i="1"/>
  <c r="T69" i="1"/>
  <c r="U68" i="1"/>
  <c r="V67" i="1"/>
  <c r="T65" i="1"/>
  <c r="U64" i="1"/>
  <c r="V72" i="1"/>
  <c r="U70" i="1"/>
  <c r="V66" i="1"/>
  <c r="V65" i="1"/>
  <c r="V64" i="1"/>
  <c r="U69" i="1"/>
  <c r="T68" i="1"/>
  <c r="T67" i="1"/>
  <c r="T66" i="1"/>
  <c r="U71" i="1"/>
  <c r="V68" i="1"/>
  <c r="U65" i="1"/>
  <c r="V73" i="1"/>
  <c r="V69" i="1"/>
  <c r="U67" i="1"/>
  <c r="U66" i="1"/>
  <c r="T64" i="1"/>
  <c r="B83" i="1" l="1"/>
  <c r="C79" i="1"/>
  <c r="B78" i="1"/>
  <c r="B81" i="1"/>
  <c r="C80" i="1"/>
  <c r="B79" i="1"/>
  <c r="C78" i="1"/>
  <c r="C81" i="1"/>
  <c r="B82" i="1"/>
  <c r="C82" i="1"/>
  <c r="C83" i="1"/>
  <c r="B80" i="1"/>
  <c r="B84" i="1"/>
  <c r="C87" i="1"/>
  <c r="C85" i="1"/>
  <c r="B86" i="1"/>
  <c r="C84" i="1"/>
  <c r="B85" i="1"/>
  <c r="C86" i="1"/>
  <c r="B87" i="1"/>
  <c r="D87" i="1"/>
  <c r="D86" i="1"/>
  <c r="D85" i="1"/>
  <c r="D84" i="1"/>
  <c r="D81" i="1"/>
  <c r="D80" i="1"/>
  <c r="D79" i="1"/>
  <c r="D78" i="1"/>
  <c r="D83" i="1"/>
  <c r="D82" i="1"/>
  <c r="E78" i="1" l="1"/>
  <c r="F82" i="1"/>
  <c r="F83" i="1"/>
  <c r="F81" i="1"/>
  <c r="E79" i="1"/>
  <c r="F80" i="1"/>
  <c r="E82" i="1"/>
  <c r="E81" i="1"/>
  <c r="E83" i="1"/>
  <c r="E80" i="1"/>
  <c r="F78" i="1"/>
  <c r="F79" i="1"/>
  <c r="F84" i="1"/>
  <c r="F86" i="1"/>
  <c r="E87" i="1"/>
  <c r="E85" i="1"/>
  <c r="F85" i="1"/>
  <c r="F87" i="1"/>
  <c r="E86" i="1"/>
  <c r="E84" i="1"/>
  <c r="G84" i="1"/>
  <c r="G87" i="1"/>
  <c r="G82" i="1"/>
  <c r="G78" i="1"/>
  <c r="G85" i="1"/>
  <c r="G86" i="1"/>
  <c r="G81" i="1"/>
  <c r="G83" i="1"/>
  <c r="G80" i="1"/>
  <c r="G79" i="1"/>
  <c r="H78" i="1" l="1"/>
  <c r="I82" i="1"/>
  <c r="I78" i="1"/>
  <c r="H79" i="1"/>
  <c r="I79" i="1"/>
  <c r="I83" i="1"/>
  <c r="H83" i="1"/>
  <c r="I81" i="1"/>
  <c r="I80" i="1"/>
  <c r="H80" i="1"/>
  <c r="H82" i="1"/>
  <c r="H81" i="1"/>
  <c r="H84" i="1"/>
  <c r="H86" i="1"/>
  <c r="I87" i="1"/>
  <c r="I85" i="1"/>
  <c r="H85" i="1"/>
  <c r="H87" i="1"/>
  <c r="I84" i="1"/>
  <c r="I86" i="1"/>
  <c r="J85" i="1"/>
  <c r="J87" i="1"/>
  <c r="J84" i="1"/>
  <c r="J83" i="1"/>
  <c r="J79" i="1"/>
  <c r="J86" i="1"/>
  <c r="J82" i="1"/>
  <c r="J81" i="1"/>
  <c r="J80" i="1"/>
  <c r="J78" i="1"/>
  <c r="L80" i="1" l="1"/>
  <c r="K81" i="1"/>
  <c r="K78" i="1"/>
  <c r="K82" i="1"/>
  <c r="L79" i="1"/>
  <c r="L78" i="1"/>
  <c r="L82" i="1"/>
  <c r="K80" i="1"/>
  <c r="L81" i="1"/>
  <c r="L83" i="1"/>
  <c r="K83" i="1"/>
  <c r="K79" i="1"/>
  <c r="K85" i="1"/>
  <c r="L86" i="1"/>
  <c r="L84" i="1"/>
  <c r="K86" i="1"/>
  <c r="K84" i="1"/>
  <c r="L85" i="1"/>
  <c r="K87" i="1"/>
  <c r="L87" i="1"/>
  <c r="M86" i="1"/>
  <c r="M85" i="1"/>
  <c r="M84" i="1"/>
  <c r="M80" i="1"/>
  <c r="M87" i="1"/>
  <c r="M79" i="1"/>
  <c r="M78" i="1"/>
  <c r="M83" i="1"/>
  <c r="M82" i="1"/>
  <c r="M81" i="1"/>
  <c r="O78" i="1" l="1"/>
  <c r="O81" i="1"/>
  <c r="N82" i="1"/>
  <c r="N81" i="1"/>
  <c r="N80" i="1"/>
  <c r="O83" i="1"/>
  <c r="N79" i="1"/>
  <c r="O80" i="1"/>
  <c r="N78" i="1"/>
  <c r="N83" i="1"/>
  <c r="O79" i="1"/>
  <c r="O82" i="1"/>
  <c r="O85" i="1"/>
  <c r="O87" i="1"/>
  <c r="N84" i="1"/>
  <c r="N86" i="1"/>
  <c r="N85" i="1"/>
  <c r="O86" i="1"/>
  <c r="O84" i="1"/>
  <c r="N87" i="1"/>
  <c r="P87" i="1"/>
  <c r="P86" i="1"/>
  <c r="P81" i="1"/>
  <c r="P85" i="1"/>
  <c r="P84" i="1"/>
  <c r="P83" i="1"/>
  <c r="P82" i="1"/>
  <c r="P79" i="1"/>
  <c r="P78" i="1"/>
  <c r="P80" i="1"/>
  <c r="R81" i="1" l="1"/>
  <c r="R79" i="1"/>
  <c r="Q78" i="1"/>
  <c r="R78" i="1"/>
  <c r="Q83" i="1"/>
  <c r="Q79" i="1"/>
  <c r="R82" i="1"/>
  <c r="Q80" i="1"/>
  <c r="R80" i="1"/>
  <c r="Q81" i="1"/>
  <c r="Q82" i="1"/>
  <c r="R83" i="1"/>
  <c r="R84" i="1"/>
  <c r="Q85" i="1"/>
  <c r="R86" i="1"/>
  <c r="Q84" i="1"/>
  <c r="Q87" i="1"/>
  <c r="R87" i="1"/>
  <c r="Q86" i="1"/>
  <c r="R85" i="1"/>
  <c r="S84" i="1"/>
  <c r="S87" i="1"/>
  <c r="S86" i="1"/>
  <c r="S85" i="1"/>
  <c r="S82" i="1"/>
  <c r="S78" i="1"/>
  <c r="S81" i="1"/>
  <c r="S80" i="1"/>
  <c r="S79" i="1"/>
  <c r="S83" i="1"/>
  <c r="M9" i="3"/>
  <c r="M10" i="3" s="1"/>
  <c r="A4" i="3" l="1"/>
  <c r="A14" i="3"/>
  <c r="A6" i="3"/>
  <c r="A12" i="3"/>
  <c r="A8" i="3"/>
  <c r="A10" i="3"/>
  <c r="U81" i="1"/>
  <c r="T82" i="1"/>
  <c r="U82" i="1"/>
  <c r="U83" i="1"/>
  <c r="U79" i="1"/>
  <c r="T83" i="1"/>
  <c r="U80" i="1"/>
  <c r="T81" i="1"/>
  <c r="T80" i="1"/>
  <c r="T79" i="1"/>
  <c r="T78" i="1"/>
  <c r="U78" i="1"/>
  <c r="U87" i="1"/>
  <c r="U85" i="1"/>
  <c r="T84" i="1"/>
  <c r="T86" i="1"/>
  <c r="T87" i="1"/>
  <c r="U84" i="1"/>
  <c r="T85" i="1"/>
  <c r="U86" i="1"/>
  <c r="V85" i="1"/>
  <c r="V86" i="1"/>
  <c r="V87" i="1"/>
  <c r="V83" i="1"/>
  <c r="V79" i="1"/>
  <c r="V84" i="1"/>
  <c r="V82" i="1"/>
  <c r="V80" i="1"/>
  <c r="V78" i="1"/>
  <c r="V81" i="1"/>
  <c r="A16" i="2" l="1"/>
  <c r="A18" i="2" s="1"/>
  <c r="A20" i="2" s="1"/>
  <c r="A22" i="2" s="1"/>
  <c r="A24" i="2" s="1"/>
  <c r="A26" i="2" s="1"/>
  <c r="A28" i="2" s="1"/>
  <c r="A30" i="2" s="1"/>
  <c r="A32" i="2" s="1"/>
  <c r="A34" i="2" s="1"/>
  <c r="A36" i="2" s="1"/>
  <c r="A38" i="2" s="1"/>
  <c r="A40" i="2" s="1"/>
  <c r="A42" i="2" s="1"/>
  <c r="A44" i="2" s="1"/>
  <c r="A46" i="2" s="1"/>
  <c r="A48" i="2" s="1"/>
  <c r="A50" i="2" s="1"/>
  <c r="A52" i="2" s="1"/>
  <c r="A54" i="2" s="1"/>
  <c r="A56" i="2" s="1"/>
  <c r="A58" i="2" s="1"/>
  <c r="A60" i="2" s="1"/>
  <c r="A62" i="2" s="1"/>
  <c r="A64" i="2" s="1"/>
  <c r="V6" i="1" l="1"/>
  <c r="U5" i="1" l="1"/>
  <c r="T6" i="1"/>
  <c r="V7" i="1"/>
  <c r="T5" i="1"/>
  <c r="T7" i="1"/>
  <c r="V5" i="1"/>
  <c r="U6" i="1"/>
  <c r="U7" i="1"/>
  <c r="D20" i="1"/>
  <c r="B20" i="1" l="1"/>
  <c r="C21" i="1"/>
  <c r="C19" i="1"/>
  <c r="D19" i="1"/>
  <c r="B21" i="1"/>
  <c r="C20" i="1"/>
  <c r="B19" i="1"/>
  <c r="D21" i="1"/>
  <c r="E21" i="1"/>
  <c r="E19" i="1" l="1"/>
  <c r="G19" i="1"/>
  <c r="F21" i="1"/>
  <c r="G20" i="1"/>
  <c r="E20" i="1"/>
  <c r="F19" i="1"/>
  <c r="F20" i="1"/>
  <c r="G21" i="1"/>
  <c r="H21" i="1"/>
  <c r="J19" i="1" l="1"/>
  <c r="H19" i="1"/>
  <c r="I21" i="1"/>
  <c r="J21" i="1"/>
  <c r="I19" i="1"/>
  <c r="H20" i="1"/>
  <c r="J20" i="1"/>
  <c r="I20" i="1"/>
  <c r="M21" i="1"/>
  <c r="M20" i="1" l="1"/>
  <c r="K20" i="1"/>
  <c r="L19" i="1"/>
  <c r="M19" i="1"/>
  <c r="L20" i="1"/>
  <c r="K19" i="1"/>
  <c r="K21" i="1"/>
  <c r="L21" i="1"/>
  <c r="N19" i="1"/>
  <c r="P20" i="1" l="1"/>
  <c r="N20" i="1"/>
  <c r="P19" i="1"/>
  <c r="O19" i="1"/>
  <c r="N21" i="1"/>
  <c r="P21" i="1"/>
  <c r="O20" i="1"/>
  <c r="O21" i="1"/>
  <c r="S21" i="1"/>
  <c r="Q19" i="1" l="1"/>
  <c r="R20" i="1"/>
  <c r="S20" i="1"/>
  <c r="R19" i="1"/>
  <c r="Q21" i="1"/>
  <c r="S19" i="1"/>
  <c r="Q20" i="1"/>
  <c r="R21" i="1"/>
  <c r="T20" i="1"/>
  <c r="V20" i="1" l="1"/>
  <c r="T21" i="1"/>
  <c r="U21" i="1"/>
  <c r="T19" i="1"/>
  <c r="V21" i="1"/>
  <c r="V19" i="1"/>
  <c r="U19" i="1"/>
  <c r="U20" i="1"/>
  <c r="C35" i="1" l="1"/>
  <c r="B34" i="1"/>
  <c r="C34" i="1"/>
  <c r="C33" i="1"/>
  <c r="B35" i="1"/>
  <c r="D33" i="1"/>
  <c r="D35" i="1"/>
  <c r="D34" i="1"/>
  <c r="B33" i="1"/>
  <c r="G33" i="1"/>
  <c r="E35" i="1" l="1"/>
  <c r="E33" i="1"/>
  <c r="F35" i="1"/>
  <c r="E34" i="1"/>
  <c r="G35" i="1"/>
  <c r="F34" i="1"/>
  <c r="G34" i="1"/>
  <c r="F33" i="1"/>
  <c r="I33" i="1"/>
  <c r="J35" i="1" l="1"/>
  <c r="J34" i="1"/>
  <c r="H33" i="1"/>
  <c r="H34" i="1"/>
  <c r="H35" i="1"/>
  <c r="J33" i="1"/>
  <c r="I34" i="1"/>
  <c r="I35" i="1"/>
  <c r="K33" i="1" l="1"/>
  <c r="M35" i="1"/>
  <c r="L33" i="1"/>
  <c r="K35" i="1"/>
  <c r="M33" i="1"/>
  <c r="K34" i="1"/>
  <c r="L35" i="1"/>
  <c r="L34" i="1"/>
  <c r="M34" i="1"/>
  <c r="N33" i="1"/>
  <c r="N35" i="1" l="1"/>
  <c r="P35" i="1"/>
  <c r="O34" i="1"/>
  <c r="P33" i="1"/>
  <c r="N34" i="1"/>
  <c r="P34" i="1"/>
  <c r="O35" i="1"/>
  <c r="O33" i="1"/>
  <c r="S34" i="1"/>
  <c r="R33" i="1" l="1"/>
  <c r="R34" i="1"/>
  <c r="R35" i="1"/>
  <c r="Q34" i="1"/>
  <c r="Q33" i="1"/>
  <c r="S35" i="1"/>
  <c r="Q35" i="1"/>
  <c r="S33" i="1"/>
  <c r="T34" i="1" l="1"/>
  <c r="U35" i="1"/>
  <c r="V34" i="1"/>
  <c r="V33" i="1"/>
  <c r="V35" i="1"/>
  <c r="T33" i="1"/>
  <c r="U34" i="1"/>
  <c r="T35" i="1"/>
  <c r="U33" i="1"/>
  <c r="C49" i="1" l="1"/>
  <c r="C47" i="1"/>
  <c r="D47" i="1"/>
  <c r="C48" i="1"/>
  <c r="D49" i="1"/>
  <c r="B49" i="1"/>
  <c r="B47" i="1"/>
  <c r="B48" i="1"/>
  <c r="D48" i="1"/>
  <c r="G49" i="1"/>
  <c r="F49" i="1" l="1"/>
  <c r="F48" i="1"/>
  <c r="E47" i="1"/>
  <c r="F47" i="1"/>
  <c r="G47" i="1"/>
  <c r="E49" i="1"/>
  <c r="E48" i="1"/>
  <c r="G48" i="1"/>
  <c r="I48" i="1" l="1"/>
  <c r="I47" i="1"/>
  <c r="H47" i="1"/>
  <c r="H49" i="1"/>
  <c r="J48" i="1"/>
  <c r="J47" i="1"/>
  <c r="H48" i="1"/>
  <c r="I49" i="1"/>
  <c r="J49" i="1"/>
  <c r="L47" i="1" l="1"/>
  <c r="K49" i="1"/>
  <c r="K48" i="1"/>
  <c r="L48" i="1"/>
  <c r="M49" i="1"/>
  <c r="K47" i="1"/>
  <c r="L49" i="1"/>
  <c r="M47" i="1"/>
  <c r="M48" i="1"/>
  <c r="N49" i="1" l="1"/>
  <c r="O48" i="1"/>
  <c r="P47" i="1"/>
  <c r="N47" i="1"/>
  <c r="P49" i="1"/>
  <c r="O49" i="1"/>
  <c r="P48" i="1"/>
  <c r="N48" i="1"/>
  <c r="O47" i="1"/>
  <c r="R48" i="1"/>
  <c r="Q47" i="1" l="1"/>
  <c r="R47" i="1"/>
  <c r="Q48" i="1"/>
  <c r="R49" i="1"/>
  <c r="Q49" i="1"/>
  <c r="S48" i="1"/>
  <c r="S49" i="1"/>
  <c r="S47" i="1"/>
  <c r="T48" i="1"/>
  <c r="T47" i="1" l="1"/>
  <c r="V48" i="1"/>
  <c r="U49" i="1"/>
  <c r="U47" i="1"/>
  <c r="V47" i="1"/>
  <c r="U48" i="1"/>
  <c r="V49" i="1"/>
  <c r="T49" i="1"/>
  <c r="B61" i="1"/>
  <c r="C63" i="1" l="1"/>
  <c r="B63" i="1"/>
  <c r="B62" i="1"/>
  <c r="C62" i="1"/>
  <c r="C61" i="1"/>
  <c r="E5" i="1" l="1"/>
  <c r="M5" i="1"/>
  <c r="Q5" i="1"/>
  <c r="Q7" i="1"/>
  <c r="H61" i="1"/>
  <c r="S5" i="1"/>
  <c r="Q6" i="1"/>
  <c r="S6" i="1"/>
  <c r="R6" i="1"/>
  <c r="R7" i="1"/>
  <c r="R5" i="1"/>
  <c r="S7" i="1"/>
  <c r="K6" i="1"/>
  <c r="H62" i="1"/>
  <c r="E63" i="1"/>
  <c r="V75" i="1"/>
  <c r="E61" i="1"/>
  <c r="F63" i="1"/>
  <c r="I7" i="1"/>
  <c r="E62" i="1"/>
  <c r="I63" i="1"/>
  <c r="F62" i="1"/>
  <c r="H63" i="1"/>
  <c r="F61" i="1"/>
  <c r="I61" i="1"/>
  <c r="I62" i="1"/>
  <c r="N6" i="1"/>
  <c r="D5" i="1"/>
  <c r="J5" i="1"/>
  <c r="F7" i="1"/>
  <c r="K5" i="1"/>
  <c r="I6" i="1"/>
  <c r="N7" i="1"/>
  <c r="N77" i="1"/>
  <c r="K7" i="1"/>
  <c r="L7" i="1"/>
  <c r="O7" i="1"/>
  <c r="M6" i="1"/>
  <c r="H5" i="1"/>
  <c r="N5" i="1"/>
  <c r="P6" i="1"/>
  <c r="L5" i="1"/>
  <c r="J7" i="1"/>
  <c r="J6" i="1"/>
  <c r="O6" i="1"/>
  <c r="M7" i="1"/>
  <c r="U62" i="1"/>
  <c r="I5" i="1"/>
  <c r="B75" i="1"/>
  <c r="D6" i="1"/>
  <c r="L6" i="1"/>
  <c r="P5" i="1"/>
  <c r="P7" i="1"/>
  <c r="H7" i="1"/>
  <c r="H6" i="1"/>
  <c r="O5" i="1"/>
  <c r="K76" i="1"/>
  <c r="N61" i="1"/>
  <c r="G76" i="1"/>
  <c r="L63" i="1"/>
  <c r="L75" i="1"/>
  <c r="S77" i="1"/>
  <c r="O77" i="1"/>
  <c r="V76" i="1"/>
  <c r="S62" i="1"/>
  <c r="N76" i="1"/>
  <c r="T75" i="1"/>
  <c r="R77" i="1"/>
  <c r="Q76" i="1"/>
  <c r="E75" i="1"/>
  <c r="L61" i="1"/>
  <c r="T61" i="1"/>
  <c r="N63" i="1"/>
  <c r="M77" i="1"/>
  <c r="L77" i="1"/>
  <c r="D77" i="1"/>
  <c r="J75" i="1"/>
  <c r="G75" i="1"/>
  <c r="F77" i="1"/>
  <c r="R62" i="1"/>
  <c r="E76" i="1"/>
  <c r="B76" i="1"/>
  <c r="C75" i="1"/>
  <c r="V77" i="1"/>
  <c r="S63" i="1"/>
  <c r="N75" i="1"/>
  <c r="V63" i="1"/>
  <c r="P61" i="1"/>
  <c r="E77" i="1"/>
  <c r="V62" i="1"/>
  <c r="U76" i="1"/>
  <c r="U77" i="1"/>
  <c r="C76" i="1"/>
  <c r="R61" i="1"/>
  <c r="K63" i="1"/>
  <c r="L62" i="1"/>
  <c r="K62" i="1"/>
  <c r="H75" i="1"/>
  <c r="O76" i="1"/>
  <c r="O62" i="1"/>
  <c r="L76" i="1"/>
  <c r="H76" i="1"/>
  <c r="C6" i="1"/>
  <c r="M63" i="1"/>
  <c r="K61" i="1"/>
  <c r="M75" i="1"/>
  <c r="B7" i="1"/>
  <c r="E6" i="1"/>
  <c r="B77" i="1"/>
  <c r="M62" i="1"/>
  <c r="O75" i="1"/>
  <c r="H77" i="1"/>
  <c r="U75" i="1"/>
  <c r="G77" i="1"/>
  <c r="P76" i="1"/>
  <c r="I76" i="1"/>
  <c r="T76" i="1"/>
  <c r="T77" i="1"/>
  <c r="C77" i="1"/>
  <c r="G7" i="1"/>
  <c r="T62" i="1"/>
  <c r="P63" i="1"/>
  <c r="V61" i="1"/>
  <c r="S76" i="1"/>
  <c r="M61" i="1"/>
  <c r="F75" i="1"/>
  <c r="Q77" i="1"/>
  <c r="C7" i="1"/>
  <c r="I77" i="1"/>
  <c r="M76" i="1"/>
  <c r="J76" i="1"/>
  <c r="T63" i="1"/>
  <c r="K75" i="1"/>
  <c r="F5" i="1"/>
  <c r="J77" i="1"/>
  <c r="S75" i="1"/>
  <c r="Q61" i="1"/>
  <c r="K77" i="1"/>
  <c r="B5" i="1"/>
  <c r="S61" i="1"/>
  <c r="G6" i="1"/>
  <c r="E7" i="1"/>
  <c r="U63" i="1"/>
  <c r="I75" i="1"/>
  <c r="O63" i="1"/>
  <c r="G5" i="1"/>
  <c r="D75" i="1"/>
  <c r="R63" i="1"/>
  <c r="F76" i="1"/>
  <c r="P75" i="1"/>
  <c r="B6" i="1"/>
  <c r="Q62" i="1"/>
  <c r="U61" i="1"/>
  <c r="R75" i="1"/>
  <c r="D76" i="1"/>
  <c r="O61" i="1"/>
  <c r="R76" i="1"/>
  <c r="C5" i="1"/>
  <c r="Q63" i="1"/>
  <c r="Q75" i="1"/>
  <c r="P62" i="1"/>
  <c r="P77" i="1"/>
  <c r="D7" i="1"/>
  <c r="N62" i="1"/>
  <c r="F6" i="1"/>
  <c r="C90" i="6"/>
  <c r="A91" i="6" s="1"/>
  <c r="L98" i="6" l="1"/>
  <c r="C33" i="6" l="1"/>
  <c r="P2" i="6" s="1"/>
  <c r="L39" i="6" l="1"/>
</calcChain>
</file>

<file path=xl/comments1.xml><?xml version="1.0" encoding="utf-8"?>
<comments xmlns="http://schemas.openxmlformats.org/spreadsheetml/2006/main">
  <authors>
    <author>Jeffreys, Duncan</author>
  </authors>
  <commentList>
    <comment ref="A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<sst xmlns="http://schemas.openxmlformats.org/spreadsheetml/2006/main" count="1734" uniqueCount="163">
  <si>
    <t>SUNDAY</t>
  </si>
  <si>
    <t>MONDAY</t>
  </si>
  <si>
    <t>TUESDAY</t>
  </si>
  <si>
    <t>WEDNESDAY</t>
  </si>
  <si>
    <t xml:space="preserve">THURSDAY </t>
  </si>
  <si>
    <t>FRIDAY</t>
  </si>
  <si>
    <t>SATURDAY</t>
  </si>
  <si>
    <t>8th Communication Battalion Duty Roster</t>
  </si>
  <si>
    <t>OOD</t>
  </si>
  <si>
    <t>AOOD</t>
  </si>
  <si>
    <t>DATE</t>
  </si>
  <si>
    <t>RANK</t>
  </si>
  <si>
    <t>PHONE #</t>
  </si>
  <si>
    <t>ANNOTATES WEEKEND OR HOLIDAY DUTIES</t>
  </si>
  <si>
    <t>LAST, FIRST M.</t>
  </si>
  <si>
    <t>CO.</t>
  </si>
  <si>
    <t>DNCO</t>
  </si>
  <si>
    <t>ADNCO</t>
  </si>
  <si>
    <t>FC 371 #1 (2100-0130)</t>
  </si>
  <si>
    <t>FC 371 #2 (0130-0600)</t>
  </si>
  <si>
    <t>FC 372 #1 (2100-0130)</t>
  </si>
  <si>
    <t>FC 372 #2 (0130-0600)</t>
  </si>
  <si>
    <t>OOD (FC-300)</t>
  </si>
  <si>
    <t>AOOD (FC-300)</t>
  </si>
  <si>
    <t>Duty Driver (FC-300)</t>
  </si>
  <si>
    <t>DNCO (FC-370)</t>
  </si>
  <si>
    <t>ADNCO (FC-370)</t>
  </si>
  <si>
    <t>Rover 1 (FC-372)</t>
  </si>
  <si>
    <t>Rover 2 (FC-371)</t>
  </si>
  <si>
    <t>Rover 1 (FC-371)</t>
  </si>
  <si>
    <t>Rover 2 (FC-372)</t>
  </si>
  <si>
    <t>TOTAL</t>
  </si>
  <si>
    <t>Section</t>
  </si>
  <si>
    <t>Rec. # of Duties</t>
  </si>
  <si>
    <t>Able Bodies</t>
  </si>
  <si>
    <t>Number of Duties this Month</t>
  </si>
  <si>
    <t>Total Required Bodies for Duty</t>
  </si>
  <si>
    <t>Total Able Bodied Personnel</t>
  </si>
  <si>
    <t>Total Number of Companies</t>
  </si>
  <si>
    <t>Battalion Duty Summary</t>
  </si>
  <si>
    <t>Rec Duty &amp; Duty Slots not match?</t>
  </si>
  <si>
    <t>New Year's Day</t>
  </si>
  <si>
    <t>President's Day</t>
  </si>
  <si>
    <t>Memorial Day</t>
  </si>
  <si>
    <t>Labor Day</t>
  </si>
  <si>
    <t>Columbus Day</t>
  </si>
  <si>
    <t>Veteran's Day</t>
  </si>
  <si>
    <t>Thanksgiving</t>
  </si>
  <si>
    <t>Christmas</t>
  </si>
  <si>
    <t>Dr. MLK Day</t>
  </si>
  <si>
    <t>Holiday Breaks</t>
  </si>
  <si>
    <t>Holiday observances should be entered in a format of either DD-MMM-YY or MM/DD/YYYY for example February 13 2020 would be entered as 13-Feb-20 or 02/13/2020</t>
  </si>
  <si>
    <t>Largest Company?</t>
  </si>
  <si>
    <t>Largest Company</t>
  </si>
  <si>
    <t>Largest Section in Largest Company</t>
  </si>
  <si>
    <t>Independence Day</t>
  </si>
  <si>
    <t>Company 1</t>
  </si>
  <si>
    <t>Company 2</t>
  </si>
  <si>
    <t>Company 3</t>
  </si>
  <si>
    <t>Company 4</t>
  </si>
  <si>
    <t>Company 5</t>
  </si>
  <si>
    <t>Company 6</t>
  </si>
  <si>
    <t>Company 7</t>
  </si>
  <si>
    <t>Duty Driver</t>
  </si>
  <si>
    <t>SSgt</t>
  </si>
  <si>
    <t>GySgt</t>
  </si>
  <si>
    <t>WO1</t>
  </si>
  <si>
    <t>CWO2</t>
  </si>
  <si>
    <t>2ndLt</t>
  </si>
  <si>
    <t>1stLt</t>
  </si>
  <si>
    <t>Cpl</t>
  </si>
  <si>
    <t>Sgt</t>
  </si>
  <si>
    <t>Pvt</t>
  </si>
  <si>
    <t>PFC</t>
  </si>
  <si>
    <t>LCpl</t>
  </si>
  <si>
    <t>Companies</t>
  </si>
  <si>
    <t/>
  </si>
  <si>
    <t>Total, Status, &amp; Percent</t>
  </si>
  <si>
    <t>Company Rec. Summary</t>
  </si>
  <si>
    <t>Company Rec. Rounded</t>
  </si>
  <si>
    <t>Average % of Each Company Pulled</t>
  </si>
  <si>
    <t>ABRR Data Stored?</t>
  </si>
  <si>
    <t>Figure 1</t>
  </si>
  <si>
    <t>Figure 2</t>
  </si>
  <si>
    <t>Figure 3</t>
  </si>
  <si>
    <t>Figure 4</t>
  </si>
  <si>
    <t>Example Section 1</t>
  </si>
  <si>
    <t>Example Section 2</t>
  </si>
  <si>
    <t>Example Section 3</t>
  </si>
  <si>
    <t>Example Section 4</t>
  </si>
  <si>
    <t>Example Section 5</t>
  </si>
  <si>
    <t>Rank</t>
  </si>
  <si>
    <t>Name</t>
  </si>
  <si>
    <t>EDIPI</t>
  </si>
  <si>
    <t>Sex</t>
  </si>
  <si>
    <t>Full Unit Code</t>
  </si>
  <si>
    <t>Company</t>
  </si>
  <si>
    <t>Platoon</t>
  </si>
  <si>
    <t>DNCO (FC-481)</t>
  </si>
  <si>
    <t>ADNCO (FC-481)</t>
  </si>
  <si>
    <t>Rover 1 (FC-481)</t>
  </si>
  <si>
    <t>Rover 2 (FC-481)</t>
  </si>
  <si>
    <t>FC 481 #1 (2100-0130)</t>
  </si>
  <si>
    <t>FC 481 #2 (0130-0600)</t>
  </si>
  <si>
    <t>Password</t>
  </si>
  <si>
    <t>DutyR0$t3r</t>
  </si>
  <si>
    <t>Sheet Names</t>
  </si>
  <si>
    <t>Sheet2</t>
  </si>
  <si>
    <t>Sheet3</t>
  </si>
  <si>
    <t>Sheet4</t>
  </si>
  <si>
    <t>Sheet5</t>
  </si>
  <si>
    <t>NOTES:</t>
  </si>
  <si>
    <t>Rank Lists to stand Duties</t>
  </si>
  <si>
    <t>MCDPos.01</t>
  </si>
  <si>
    <t>MCDPos.02</t>
  </si>
  <si>
    <t>MCDPos.03</t>
  </si>
  <si>
    <t>MCDPos.04</t>
  </si>
  <si>
    <t>MCDPos.05</t>
  </si>
  <si>
    <t>MCDPos.06</t>
  </si>
  <si>
    <t>MCDPos.07</t>
  </si>
  <si>
    <t>MCDPos.08</t>
  </si>
  <si>
    <t>MCDPos.09</t>
  </si>
  <si>
    <t>MCDPos.10</t>
  </si>
  <si>
    <t>MCDPos.11</t>
  </si>
  <si>
    <t>MCDPos.12</t>
  </si>
  <si>
    <t>MCDPos.13</t>
  </si>
  <si>
    <t>RankList01</t>
  </si>
  <si>
    <t>Header</t>
  </si>
  <si>
    <t>Duty Position 01</t>
  </si>
  <si>
    <t>DP01 Rank List</t>
  </si>
  <si>
    <t>Duty Position 02</t>
  </si>
  <si>
    <t>DP02 Rank List</t>
  </si>
  <si>
    <t>Duty Position 03</t>
  </si>
  <si>
    <t>DP03 Rank List</t>
  </si>
  <si>
    <t>Duty Position 04</t>
  </si>
  <si>
    <t>Duty Position 05</t>
  </si>
  <si>
    <t>Duty Position 06</t>
  </si>
  <si>
    <t>DP04 Rank List</t>
  </si>
  <si>
    <t>DP05 Rank List</t>
  </si>
  <si>
    <t>DP06 Rank List</t>
  </si>
  <si>
    <t>RankList02</t>
  </si>
  <si>
    <t>RankList03</t>
  </si>
  <si>
    <t>RankList04</t>
  </si>
  <si>
    <t>RankList05</t>
  </si>
  <si>
    <t>RankList06</t>
  </si>
  <si>
    <t>Master Calendar &amp; Summary Duty Position (Bldg.)</t>
  </si>
  <si>
    <t>8th Communication Battalion FC-300 Duty Roster</t>
  </si>
  <si>
    <t>8th Communication Battalion Supernumerary</t>
  </si>
  <si>
    <t>8th Communication Battalion FC-370 Duty Roster</t>
  </si>
  <si>
    <t>8th Communication Battalion FC-481 Duty Roster</t>
  </si>
  <si>
    <t>Company Abbreviations</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</si>
  <si>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</si>
  <si>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</si>
  <si>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header of a roster, the name of a Duty position, the list of ranks that are able to fill that position, etc.
You can even edit this NOTES area to keep your own notes, memos, tips, or really whatever you want.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</si>
  <si>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</si>
  <si>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To check for updates, report an issue, or make a request/suggestion, contact me at</t>
  </si>
  <si>
    <t>Website:</t>
  </si>
  <si>
    <t>https://github.com/JeffreysDA</t>
  </si>
  <si>
    <t>Contact:</t>
  </si>
  <si>
    <t>jeffreysda@gmail.com</t>
  </si>
  <si>
    <t>Number of Duties per Day</t>
  </si>
  <si>
    <t>RESERVED FOR FUTURE USE</t>
  </si>
  <si>
    <t>Version: 2.9</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</si>
</sst>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mm\ yyyy"/>
    <numFmt numFmtId="165" formatCode="d"/>
    <numFmt numFmtId="166" formatCode="[&lt;=9999999]###\-####;\(###\)\ ###\-####"/>
    <numFmt numFmtId="167" formatCode="0.000000000"/>
  </numFmts>
  <fonts count="28"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8"/>
      <color theme="1"/>
      <name val="Arial"/>
      <family val="2"/>
    </font>
    <font>
      <sz val="24"/>
      <color theme="0"/>
      <name val="Arial"/>
      <family val="2"/>
    </font>
    <font>
      <b/>
      <sz val="24"/>
      <color theme="1"/>
      <name val="Arial"/>
      <family val="2"/>
    </font>
    <font>
      <sz val="12"/>
      <color theme="0"/>
      <name val="Arial"/>
      <family val="2"/>
    </font>
    <font>
      <sz val="10"/>
      <name val="Arial"/>
      <family val="2"/>
    </font>
    <font>
      <b/>
      <sz val="9"/>
      <color theme="1"/>
      <name val="Arial"/>
      <family val="2"/>
    </font>
    <font>
      <b/>
      <sz val="10"/>
      <color theme="0"/>
      <name val="Arial"/>
      <family val="2"/>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b/>
      <sz val="8"/>
      <color theme="1"/>
      <name val="Arial"/>
      <family val="2"/>
    </font>
    <font>
      <b/>
      <sz val="11"/>
      <color rgb="FFC00000"/>
      <name val="Calibri"/>
      <family val="2"/>
      <scheme val="minor"/>
    </font>
    <font>
      <sz val="11"/>
      <color rgb="FF000000"/>
      <name val="Calibri"/>
      <family val="2"/>
    </font>
    <font>
      <b/>
      <sz val="11"/>
      <color rgb="FFFF0000"/>
      <name val="Calibri"/>
      <family val="2"/>
      <scheme val="minor"/>
    </font>
    <font>
      <i/>
      <sz val="11"/>
      <color theme="1"/>
      <name val="Calibri"/>
      <family val="2"/>
      <scheme val="minor"/>
    </font>
    <font>
      <b/>
      <u/>
      <sz val="11"/>
      <color theme="1"/>
      <name val="Calibri"/>
      <family val="2"/>
      <scheme val="minor"/>
    </font>
    <font>
      <b/>
      <sz val="11"/>
      <color rgb="FF0000FF"/>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sz val="9"/>
      <color indexed="81"/>
      <name val="Tahoma"/>
      <family val="2"/>
    </font>
    <font>
      <b/>
      <sz val="9"/>
      <color indexed="81"/>
      <name val="Tahoma"/>
      <family val="2"/>
    </font>
  </fonts>
  <fills count="28">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bgColor indexed="64"/>
      </patternFill>
    </fill>
    <fill>
      <patternFill patternType="solid">
        <fgColor rgb="FFFF0000"/>
        <bgColor indexed="64"/>
      </patternFill>
    </fill>
    <fill>
      <patternFill patternType="solid">
        <fgColor rgb="FF7030A0"/>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A86ED4"/>
        <bgColor indexed="64"/>
      </patternFill>
    </fill>
    <fill>
      <patternFill patternType="solid">
        <fgColor rgb="FFFF5A5A"/>
        <bgColor indexed="64"/>
      </patternFill>
    </fill>
    <fill>
      <patternFill patternType="solid">
        <fgColor rgb="FFFFFFCC"/>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39997558519241921"/>
        <bgColor indexed="64"/>
      </patternFill>
    </fill>
  </fills>
  <borders count="11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medium">
        <color theme="0"/>
      </bottom>
      <diagonal/>
    </border>
    <border>
      <left style="medium">
        <color theme="1"/>
      </left>
      <right style="thin">
        <color theme="0"/>
      </right>
      <top style="medium">
        <color theme="1"/>
      </top>
      <bottom/>
      <diagonal/>
    </border>
    <border>
      <left style="thin">
        <color theme="0"/>
      </left>
      <right style="thin">
        <color theme="0"/>
      </right>
      <top style="medium">
        <color theme="1"/>
      </top>
      <bottom/>
      <diagonal/>
    </border>
    <border>
      <left style="thin">
        <color theme="0"/>
      </left>
      <right style="medium">
        <color theme="1"/>
      </right>
      <top style="medium">
        <color theme="1"/>
      </top>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theme="1"/>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style="medium">
        <color theme="1"/>
      </right>
      <top style="medium">
        <color theme="0"/>
      </top>
      <bottom/>
      <diagonal/>
    </border>
    <border>
      <left style="medium">
        <color theme="1"/>
      </left>
      <right style="thin">
        <color theme="0"/>
      </right>
      <top/>
      <bottom style="medium">
        <color theme="1"/>
      </bottom>
      <diagonal/>
    </border>
    <border>
      <left style="thin">
        <color theme="0"/>
      </left>
      <right style="thin">
        <color theme="0"/>
      </right>
      <top/>
      <bottom style="medium">
        <color theme="1"/>
      </bottom>
      <diagonal/>
    </border>
    <border>
      <left style="thin">
        <color theme="0"/>
      </left>
      <right style="medium">
        <color theme="1"/>
      </right>
      <top/>
      <bottom style="medium">
        <color theme="1"/>
      </bottom>
      <diagonal/>
    </border>
    <border>
      <left/>
      <right style="thin">
        <color indexed="64"/>
      </right>
      <top/>
      <bottom style="medium">
        <color indexed="64"/>
      </bottom>
      <diagonal/>
    </border>
    <border>
      <left style="medium">
        <color theme="0"/>
      </left>
      <right style="thin">
        <color theme="0"/>
      </right>
      <top style="medium">
        <color theme="0"/>
      </top>
      <bottom style="thin">
        <color theme="0"/>
      </bottom>
      <diagonal/>
    </border>
    <border>
      <left style="thin">
        <color theme="0"/>
      </left>
      <right style="thin">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top style="medium">
        <color theme="0"/>
      </top>
      <bottom style="thin">
        <color theme="0"/>
      </bottom>
      <diagonal/>
    </border>
    <border>
      <left style="thin">
        <color theme="0"/>
      </left>
      <right style="medium">
        <color theme="0"/>
      </right>
      <top style="medium">
        <color theme="0"/>
      </top>
      <bottom style="thin">
        <color theme="0"/>
      </bottom>
      <diagonal/>
    </border>
    <border>
      <left style="thin">
        <color theme="0"/>
      </left>
      <right style="medium">
        <color theme="0"/>
      </right>
      <top style="thin">
        <color theme="0"/>
      </top>
      <bottom style="thin">
        <color theme="0"/>
      </bottom>
      <diagonal/>
    </border>
    <border>
      <left style="thin">
        <color theme="0"/>
      </left>
      <right style="medium">
        <color theme="0"/>
      </right>
      <top style="thin">
        <color theme="0"/>
      </top>
      <bottom style="medium">
        <color theme="0"/>
      </bottom>
      <diagonal/>
    </border>
    <border>
      <left style="thin">
        <color theme="0"/>
      </left>
      <right/>
      <top style="thin">
        <color theme="0"/>
      </top>
      <bottom style="thin">
        <color theme="0"/>
      </bottom>
      <diagonal/>
    </border>
    <border>
      <left style="thin">
        <color theme="0"/>
      </left>
      <right/>
      <top style="thin">
        <color theme="0"/>
      </top>
      <bottom style="medium">
        <color theme="0"/>
      </bottom>
      <diagonal/>
    </border>
    <border>
      <left style="thin">
        <color theme="1"/>
      </left>
      <right style="thin">
        <color theme="1"/>
      </right>
      <top style="thin">
        <color theme="1"/>
      </top>
      <bottom style="thin">
        <color theme="1"/>
      </bottom>
      <diagonal/>
    </border>
    <border>
      <left/>
      <right/>
      <top style="thin">
        <color indexed="64"/>
      </top>
      <bottom style="medium">
        <color indexed="64"/>
      </bottom>
      <diagonal/>
    </border>
    <border>
      <left/>
      <right style="thin">
        <color theme="1"/>
      </right>
      <top style="thin">
        <color theme="1"/>
      </top>
      <bottom style="thin">
        <color theme="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style="medium">
        <color theme="1"/>
      </right>
      <top/>
      <bottom style="medium">
        <color theme="1"/>
      </bottom>
      <diagonal/>
    </border>
    <border>
      <left/>
      <right style="thin">
        <color theme="1"/>
      </right>
      <top style="medium">
        <color theme="1"/>
      </top>
      <bottom style="thin">
        <color theme="1"/>
      </bottom>
      <diagonal/>
    </border>
    <border>
      <left/>
      <right style="thin">
        <color theme="1"/>
      </right>
      <top style="thin">
        <color theme="1"/>
      </top>
      <bottom style="medium">
        <color theme="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diagonal/>
    </border>
  </borders>
  <cellStyleXfs count="7">
    <xf numFmtId="0" fontId="0" fillId="0" borderId="0"/>
    <xf numFmtId="0" fontId="9" fillId="0" borderId="0"/>
    <xf numFmtId="0" fontId="9" fillId="0" borderId="0"/>
    <xf numFmtId="0" fontId="1" fillId="0" borderId="0"/>
    <xf numFmtId="9" fontId="1" fillId="0" borderId="0" applyFont="0" applyFill="0" applyBorder="0" applyAlignment="0" applyProtection="0"/>
    <xf numFmtId="0" fontId="1" fillId="19" borderId="90" applyNumberFormat="0" applyFont="0" applyAlignment="0" applyProtection="0"/>
    <xf numFmtId="0" fontId="24" fillId="0" borderId="0" applyNumberFormat="0" applyFill="0" applyBorder="0" applyAlignment="0" applyProtection="0"/>
  </cellStyleXfs>
  <cellXfs count="481">
    <xf numFmtId="0" fontId="0" fillId="0" borderId="0" xfId="0"/>
    <xf numFmtId="0" fontId="3" fillId="0" borderId="0" xfId="0" applyFont="1"/>
    <xf numFmtId="165" fontId="8" fillId="2" borderId="27" xfId="0" applyNumberFormat="1" applyFont="1" applyFill="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2" xfId="0" applyFont="1" applyBorder="1" applyAlignment="1">
      <alignment horizontal="center" vertical="center"/>
    </xf>
    <xf numFmtId="165" fontId="0" fillId="4" borderId="1" xfId="0" applyNumberFormat="1" applyFill="1" applyBorder="1" applyAlignment="1"/>
    <xf numFmtId="165" fontId="0" fillId="5" borderId="0" xfId="0" applyNumberFormat="1" applyFill="1" applyBorder="1" applyAlignment="1"/>
    <xf numFmtId="0" fontId="0" fillId="5" borderId="0" xfId="0" applyFill="1" applyBorder="1"/>
    <xf numFmtId="165" fontId="2" fillId="5" borderId="0" xfId="0" applyNumberFormat="1" applyFont="1" applyFill="1" applyBorder="1" applyAlignment="1"/>
    <xf numFmtId="0" fontId="2" fillId="5" borderId="37" xfId="0" applyFont="1" applyFill="1" applyBorder="1" applyAlignment="1">
      <alignment horizontal="center" vertical="center"/>
    </xf>
    <xf numFmtId="0" fontId="2" fillId="5" borderId="41" xfId="0" applyFont="1" applyFill="1" applyBorder="1" applyAlignment="1">
      <alignment horizontal="center" vertical="center"/>
    </xf>
    <xf numFmtId="165" fontId="0" fillId="5" borderId="8" xfId="0" applyNumberFormat="1" applyFill="1" applyBorder="1" applyAlignment="1"/>
    <xf numFmtId="165" fontId="0" fillId="5" borderId="9" xfId="0" applyNumberFormat="1" applyFill="1" applyBorder="1" applyAlignment="1"/>
    <xf numFmtId="0" fontId="0" fillId="5" borderId="10" xfId="0" applyFill="1" applyBorder="1"/>
    <xf numFmtId="0" fontId="0" fillId="5" borderId="11" xfId="0" applyFill="1" applyBorder="1"/>
    <xf numFmtId="0" fontId="0" fillId="5" borderId="12" xfId="0" applyFill="1" applyBorder="1"/>
    <xf numFmtId="0" fontId="2" fillId="5" borderId="33" xfId="0" applyFont="1" applyFill="1" applyBorder="1" applyAlignment="1">
      <alignment horizontal="center" vertical="center"/>
    </xf>
    <xf numFmtId="0" fontId="2" fillId="5" borderId="44" xfId="0" applyFont="1" applyFill="1" applyBorder="1" applyAlignment="1">
      <alignment horizontal="center" vertical="center"/>
    </xf>
    <xf numFmtId="0" fontId="2" fillId="5" borderId="23" xfId="0" applyFont="1" applyFill="1" applyBorder="1" applyAlignment="1">
      <alignment horizontal="center" vertical="center"/>
    </xf>
    <xf numFmtId="0" fontId="2" fillId="5" borderId="35" xfId="0" applyFont="1" applyFill="1" applyBorder="1" applyAlignment="1">
      <alignment horizontal="center" vertical="center"/>
    </xf>
    <xf numFmtId="0" fontId="2" fillId="5" borderId="34" xfId="0" applyFont="1" applyFill="1" applyBorder="1" applyAlignment="1">
      <alignment horizontal="center" vertical="center"/>
    </xf>
    <xf numFmtId="49" fontId="0" fillId="5" borderId="18" xfId="0" applyNumberFormat="1" applyFill="1" applyBorder="1" applyAlignment="1">
      <alignment horizontal="center" vertical="center"/>
    </xf>
    <xf numFmtId="49" fontId="0" fillId="5" borderId="20" xfId="0" applyNumberFormat="1" applyFill="1" applyBorder="1" applyAlignment="1">
      <alignment horizontal="center" vertical="center"/>
    </xf>
    <xf numFmtId="165" fontId="0" fillId="5" borderId="5" xfId="0" applyNumberFormat="1" applyFill="1" applyBorder="1" applyAlignment="1"/>
    <xf numFmtId="0" fontId="0" fillId="5" borderId="9" xfId="0" applyFill="1" applyBorder="1"/>
    <xf numFmtId="166" fontId="0" fillId="5" borderId="13" xfId="0" applyNumberFormat="1" applyFill="1" applyBorder="1" applyAlignment="1" applyProtection="1">
      <alignment horizontal="center" vertical="center"/>
      <protection locked="0"/>
    </xf>
    <xf numFmtId="166" fontId="0" fillId="5" borderId="21" xfId="0" applyNumberFormat="1" applyFill="1" applyBorder="1" applyAlignment="1" applyProtection="1">
      <alignment horizontal="center" vertical="center"/>
      <protection locked="0"/>
    </xf>
    <xf numFmtId="49" fontId="0" fillId="5" borderId="18" xfId="0" applyNumberFormat="1" applyFill="1" applyBorder="1" applyAlignment="1" applyProtection="1">
      <alignment horizontal="center" vertical="center"/>
      <protection locked="0"/>
    </xf>
    <xf numFmtId="49" fontId="0" fillId="5" borderId="31" xfId="0" applyNumberFormat="1" applyFill="1" applyBorder="1" applyAlignment="1" applyProtection="1">
      <alignment horizontal="center" vertical="center"/>
      <protection locked="0"/>
    </xf>
    <xf numFmtId="49" fontId="0" fillId="5" borderId="15" xfId="0" applyNumberFormat="1" applyFill="1" applyBorder="1" applyAlignment="1" applyProtection="1">
      <alignment horizontal="center" vertical="center"/>
      <protection locked="0"/>
    </xf>
    <xf numFmtId="0" fontId="10" fillId="0" borderId="0" xfId="0" applyFont="1" applyAlignment="1">
      <alignment horizontal="center" vertical="center"/>
    </xf>
    <xf numFmtId="0" fontId="10" fillId="5" borderId="46" xfId="0" applyFont="1" applyFill="1" applyBorder="1" applyAlignment="1" applyProtection="1">
      <alignment horizontal="center" vertical="center"/>
    </xf>
    <xf numFmtId="0" fontId="0" fillId="0" borderId="0" xfId="0" applyProtection="1"/>
    <xf numFmtId="0" fontId="11" fillId="2" borderId="2" xfId="0" applyFont="1" applyFill="1" applyBorder="1" applyAlignment="1" applyProtection="1">
      <alignment horizontal="center" vertical="center"/>
    </xf>
    <xf numFmtId="0" fontId="4" fillId="7" borderId="2" xfId="0" applyFont="1" applyFill="1" applyBorder="1" applyAlignment="1" applyProtection="1">
      <alignment horizontal="center" vertical="center"/>
    </xf>
    <xf numFmtId="0" fontId="2" fillId="13" borderId="46" xfId="4" applyNumberFormat="1" applyFont="1" applyFill="1" applyBorder="1" applyAlignment="1" applyProtection="1">
      <alignment horizontal="center" vertical="center"/>
    </xf>
    <xf numFmtId="0" fontId="2" fillId="13" borderId="46" xfId="0" applyFont="1" applyFill="1" applyBorder="1" applyAlignment="1" applyProtection="1">
      <alignment horizontal="center" vertical="center"/>
    </xf>
    <xf numFmtId="0" fontId="2" fillId="14" borderId="46" xfId="4" applyNumberFormat="1" applyFont="1" applyFill="1" applyBorder="1" applyAlignment="1" applyProtection="1">
      <alignment horizontal="center" vertical="center"/>
    </xf>
    <xf numFmtId="0" fontId="2" fillId="14" borderId="46" xfId="0" applyFont="1" applyFill="1" applyBorder="1" applyAlignment="1" applyProtection="1">
      <alignment horizontal="center" vertical="center"/>
    </xf>
    <xf numFmtId="0" fontId="2" fillId="15" borderId="46" xfId="4" applyNumberFormat="1" applyFont="1" applyFill="1" applyBorder="1" applyAlignment="1" applyProtection="1">
      <alignment horizontal="center" vertical="center"/>
    </xf>
    <xf numFmtId="0" fontId="2" fillId="15" borderId="46" xfId="0" applyFont="1" applyFill="1" applyBorder="1" applyAlignment="1" applyProtection="1">
      <alignment horizontal="center" vertical="center"/>
    </xf>
    <xf numFmtId="0" fontId="2" fillId="17" borderId="46" xfId="4" applyNumberFormat="1" applyFont="1" applyFill="1" applyBorder="1" applyAlignment="1" applyProtection="1">
      <alignment horizontal="center" vertical="center"/>
    </xf>
    <xf numFmtId="0" fontId="2" fillId="17" borderId="46" xfId="0" applyFont="1" applyFill="1" applyBorder="1" applyAlignment="1" applyProtection="1">
      <alignment horizontal="center" vertical="center"/>
    </xf>
    <xf numFmtId="0" fontId="2" fillId="18" borderId="7" xfId="4" applyNumberFormat="1" applyFont="1" applyFill="1" applyBorder="1" applyAlignment="1" applyProtection="1">
      <alignment horizontal="center" vertical="center"/>
    </xf>
    <xf numFmtId="0" fontId="2" fillId="18" borderId="46" xfId="4" applyNumberFormat="1" applyFont="1" applyFill="1" applyBorder="1" applyAlignment="1" applyProtection="1">
      <alignment horizontal="center" vertical="center"/>
    </xf>
    <xf numFmtId="0" fontId="2" fillId="18" borderId="46" xfId="0" applyFont="1" applyFill="1" applyBorder="1" applyAlignment="1" applyProtection="1">
      <alignment horizontal="center" vertical="center"/>
    </xf>
    <xf numFmtId="0" fontId="2" fillId="16" borderId="46" xfId="4" applyNumberFormat="1" applyFont="1" applyFill="1" applyBorder="1" applyAlignment="1" applyProtection="1">
      <alignment horizontal="center" vertical="center"/>
    </xf>
    <xf numFmtId="0" fontId="2" fillId="16" borderId="5" xfId="0" applyFont="1" applyFill="1" applyBorder="1" applyAlignment="1" applyProtection="1">
      <alignment horizontal="center" vertical="center"/>
    </xf>
    <xf numFmtId="0" fontId="0" fillId="5" borderId="32" xfId="0" applyFill="1" applyBorder="1" applyAlignment="1" applyProtection="1">
      <alignment vertical="center"/>
    </xf>
    <xf numFmtId="0" fontId="0" fillId="5" borderId="19" xfId="0" applyFill="1" applyBorder="1" applyAlignment="1" applyProtection="1">
      <alignment vertical="center"/>
    </xf>
    <xf numFmtId="10" fontId="0" fillId="5" borderId="19" xfId="4" applyNumberFormat="1" applyFont="1" applyFill="1" applyBorder="1" applyAlignment="1" applyProtection="1">
      <alignment vertical="center"/>
    </xf>
    <xf numFmtId="0" fontId="13" fillId="12" borderId="48" xfId="0" applyFont="1" applyFill="1" applyBorder="1" applyAlignment="1" applyProtection="1">
      <alignment horizontal="center" vertical="center"/>
      <protection locked="0"/>
    </xf>
    <xf numFmtId="0" fontId="13" fillId="12" borderId="49" xfId="0" applyFont="1" applyFill="1" applyBorder="1" applyAlignment="1" applyProtection="1">
      <alignment horizontal="center" vertical="center"/>
      <protection locked="0"/>
    </xf>
    <xf numFmtId="0" fontId="2" fillId="6" borderId="54" xfId="0" applyFont="1" applyFill="1" applyBorder="1" applyAlignment="1" applyProtection="1">
      <alignment horizontal="center" vertical="center"/>
    </xf>
    <xf numFmtId="0" fontId="12" fillId="12" borderId="56" xfId="4" applyNumberFormat="1" applyFont="1" applyFill="1" applyBorder="1" applyAlignment="1" applyProtection="1">
      <alignment horizontal="center" vertical="center"/>
    </xf>
    <xf numFmtId="0" fontId="12" fillId="12" borderId="57" xfId="4" applyNumberFormat="1" applyFont="1" applyFill="1" applyBorder="1" applyAlignment="1" applyProtection="1">
      <alignment horizontal="center" vertical="center"/>
    </xf>
    <xf numFmtId="0" fontId="12" fillId="12" borderId="58" xfId="0" applyFont="1" applyFill="1" applyBorder="1" applyAlignment="1" applyProtection="1">
      <alignment horizontal="center" vertical="center"/>
    </xf>
    <xf numFmtId="0" fontId="12" fillId="2" borderId="59" xfId="0" applyFont="1" applyFill="1" applyBorder="1" applyAlignment="1" applyProtection="1">
      <alignment horizontal="center" vertical="center"/>
    </xf>
    <xf numFmtId="0" fontId="2" fillId="7" borderId="62" xfId="0" applyFont="1" applyFill="1" applyBorder="1" applyAlignment="1" applyProtection="1">
      <alignment horizontal="center" vertical="center"/>
    </xf>
    <xf numFmtId="0" fontId="2" fillId="11" borderId="54" xfId="0" applyFont="1" applyFill="1" applyBorder="1" applyAlignment="1" applyProtection="1">
      <alignment horizontal="center" vertical="center"/>
    </xf>
    <xf numFmtId="0" fontId="2" fillId="10" borderId="54" xfId="0" applyFont="1" applyFill="1" applyBorder="1" applyAlignment="1" applyProtection="1">
      <alignment horizontal="center" vertical="center"/>
    </xf>
    <xf numFmtId="0" fontId="2" fillId="9" borderId="54" xfId="0" applyFont="1" applyFill="1" applyBorder="1" applyAlignment="1" applyProtection="1">
      <alignment horizontal="center" vertical="center"/>
    </xf>
    <xf numFmtId="0" fontId="2" fillId="8" borderId="54" xfId="0" applyFont="1" applyFill="1" applyBorder="1" applyAlignment="1" applyProtection="1">
      <alignment horizontal="center" vertical="center"/>
    </xf>
    <xf numFmtId="0" fontId="13" fillId="12" borderId="63" xfId="0" applyNumberFormat="1" applyFont="1" applyFill="1" applyBorder="1" applyAlignment="1" applyProtection="1">
      <alignment vertical="center"/>
      <protection locked="0"/>
    </xf>
    <xf numFmtId="0" fontId="13" fillId="12" borderId="64" xfId="0" applyFont="1" applyFill="1" applyBorder="1" applyAlignment="1" applyProtection="1">
      <alignment horizontal="center" vertical="center"/>
      <protection locked="0"/>
    </xf>
    <xf numFmtId="0" fontId="13" fillId="12" borderId="65" xfId="0" applyNumberFormat="1" applyFont="1" applyFill="1" applyBorder="1" applyAlignment="1" applyProtection="1">
      <alignment vertical="center"/>
      <protection locked="0"/>
    </xf>
    <xf numFmtId="0" fontId="13" fillId="12" borderId="65" xfId="0" applyFont="1" applyFill="1" applyBorder="1" applyAlignment="1" applyProtection="1">
      <alignment vertical="center"/>
      <protection locked="0"/>
    </xf>
    <xf numFmtId="0" fontId="13" fillId="12" borderId="66" xfId="0" applyFont="1" applyFill="1" applyBorder="1" applyAlignment="1" applyProtection="1">
      <alignment vertical="center"/>
      <protection locked="0"/>
    </xf>
    <xf numFmtId="0" fontId="13" fillId="12" borderId="67" xfId="0" applyFont="1" applyFill="1" applyBorder="1" applyAlignment="1" applyProtection="1">
      <alignment horizontal="center" vertical="center"/>
    </xf>
    <xf numFmtId="0" fontId="2" fillId="11" borderId="55" xfId="0" applyFont="1" applyFill="1" applyBorder="1" applyAlignment="1" applyProtection="1">
      <alignment horizontal="center" vertical="center"/>
    </xf>
    <xf numFmtId="0" fontId="2" fillId="11" borderId="55" xfId="4" applyNumberFormat="1" applyFont="1" applyFill="1" applyBorder="1" applyAlignment="1" applyProtection="1">
      <alignment horizontal="center" vertical="center"/>
    </xf>
    <xf numFmtId="0" fontId="2" fillId="10" borderId="55" xfId="0" applyFont="1" applyFill="1" applyBorder="1" applyAlignment="1" applyProtection="1">
      <alignment horizontal="center" vertical="center"/>
    </xf>
    <xf numFmtId="0" fontId="2" fillId="9" borderId="55" xfId="0" applyFont="1" applyFill="1" applyBorder="1" applyAlignment="1" applyProtection="1">
      <alignment horizontal="center" vertical="center"/>
    </xf>
    <xf numFmtId="0" fontId="2" fillId="8" borderId="55" xfId="0" applyFont="1" applyFill="1" applyBorder="1" applyAlignment="1" applyProtection="1">
      <alignment horizontal="center" vertical="center"/>
    </xf>
    <xf numFmtId="0" fontId="12" fillId="2" borderId="60"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2" fillId="7" borderId="55" xfId="0" applyFont="1" applyFill="1" applyBorder="1" applyAlignment="1" applyProtection="1">
      <alignment horizontal="center" vertical="center"/>
    </xf>
    <xf numFmtId="0" fontId="2" fillId="6" borderId="55" xfId="0" applyFont="1" applyFill="1" applyBorder="1" applyAlignment="1" applyProtection="1">
      <alignment horizontal="center" vertical="center"/>
    </xf>
    <xf numFmtId="0" fontId="2" fillId="6" borderId="42" xfId="0" applyFont="1" applyFill="1" applyBorder="1" applyAlignment="1" applyProtection="1">
      <alignment horizontal="center" vertical="center"/>
    </xf>
    <xf numFmtId="0" fontId="4" fillId="6" borderId="2" xfId="0" applyFont="1" applyFill="1" applyBorder="1" applyAlignment="1" applyProtection="1">
      <alignment horizontal="center" vertical="center"/>
    </xf>
    <xf numFmtId="0" fontId="4" fillId="8" borderId="2"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10" borderId="2" xfId="0" applyFont="1" applyFill="1" applyBorder="1" applyAlignment="1" applyProtection="1">
      <alignment horizontal="center" vertical="center"/>
    </xf>
    <xf numFmtId="0" fontId="13" fillId="12" borderId="68" xfId="0" applyFont="1" applyFill="1" applyBorder="1" applyAlignment="1" applyProtection="1">
      <alignment horizontal="center" vertical="center"/>
    </xf>
    <xf numFmtId="0" fontId="13" fillId="12" borderId="69" xfId="0" applyFont="1" applyFill="1" applyBorder="1" applyAlignment="1" applyProtection="1">
      <alignment horizontal="center" vertical="center"/>
    </xf>
    <xf numFmtId="0" fontId="13" fillId="12" borderId="70" xfId="0" applyFont="1" applyFill="1" applyBorder="1" applyAlignment="1" applyProtection="1">
      <alignment horizontal="center" vertical="center"/>
    </xf>
    <xf numFmtId="0" fontId="13" fillId="12" borderId="71" xfId="0" applyFont="1" applyFill="1" applyBorder="1" applyAlignment="1" applyProtection="1">
      <alignment horizontal="center" vertical="center"/>
    </xf>
    <xf numFmtId="0" fontId="13" fillId="12" borderId="72" xfId="0" applyFont="1" applyFill="1" applyBorder="1" applyAlignment="1" applyProtection="1">
      <alignment horizontal="center" vertical="center"/>
    </xf>
    <xf numFmtId="0" fontId="2" fillId="7" borderId="42" xfId="0" applyFont="1" applyFill="1" applyBorder="1" applyAlignment="1" applyProtection="1">
      <alignment horizontal="center" vertical="center"/>
    </xf>
    <xf numFmtId="0" fontId="0" fillId="13" borderId="78" xfId="4" applyNumberFormat="1" applyFont="1" applyFill="1" applyBorder="1" applyAlignment="1" applyProtection="1">
      <alignment horizontal="center" vertical="center"/>
    </xf>
    <xf numFmtId="0" fontId="0" fillId="13" borderId="80" xfId="4" applyNumberFormat="1" applyFont="1" applyFill="1" applyBorder="1" applyAlignment="1" applyProtection="1">
      <alignment horizontal="center" vertical="center"/>
    </xf>
    <xf numFmtId="0" fontId="0" fillId="13" borderId="83" xfId="4" applyNumberFormat="1" applyFont="1" applyFill="1" applyBorder="1" applyAlignment="1" applyProtection="1">
      <alignment horizontal="center" vertical="center"/>
    </xf>
    <xf numFmtId="0" fontId="0" fillId="14" borderId="78" xfId="0" applyFill="1" applyBorder="1" applyAlignment="1" applyProtection="1">
      <alignment horizontal="center" vertical="center"/>
    </xf>
    <xf numFmtId="0" fontId="0" fillId="14" borderId="80" xfId="0" applyFill="1" applyBorder="1" applyAlignment="1" applyProtection="1">
      <alignment horizontal="center" vertical="center"/>
    </xf>
    <xf numFmtId="0" fontId="0" fillId="14" borderId="83" xfId="0" applyFill="1" applyBorder="1" applyAlignment="1" applyProtection="1">
      <alignment horizontal="center" vertical="center"/>
    </xf>
    <xf numFmtId="0" fontId="0" fillId="15" borderId="78" xfId="0" applyFill="1" applyBorder="1" applyAlignment="1" applyProtection="1">
      <alignment horizontal="center" vertical="center"/>
    </xf>
    <xf numFmtId="0" fontId="0" fillId="15" borderId="80" xfId="0" applyFill="1" applyBorder="1" applyAlignment="1" applyProtection="1">
      <alignment horizontal="center" vertical="center"/>
    </xf>
    <xf numFmtId="0" fontId="0" fillId="15" borderId="83" xfId="0" applyFill="1" applyBorder="1" applyAlignment="1" applyProtection="1">
      <alignment horizontal="center" vertical="center"/>
    </xf>
    <xf numFmtId="0" fontId="0" fillId="17" borderId="78" xfId="0" applyFill="1" applyBorder="1" applyAlignment="1" applyProtection="1">
      <alignment horizontal="center" vertical="center"/>
    </xf>
    <xf numFmtId="0" fontId="0" fillId="17" borderId="80" xfId="0" applyFill="1" applyBorder="1" applyAlignment="1" applyProtection="1">
      <alignment horizontal="center" vertical="center"/>
    </xf>
    <xf numFmtId="0" fontId="0" fillId="17" borderId="83" xfId="0" applyFill="1" applyBorder="1" applyAlignment="1" applyProtection="1">
      <alignment horizontal="center" vertical="center"/>
    </xf>
    <xf numFmtId="0" fontId="0" fillId="18" borderId="78" xfId="0" applyFill="1" applyBorder="1" applyAlignment="1" applyProtection="1">
      <alignment horizontal="center" vertical="center"/>
    </xf>
    <xf numFmtId="0" fontId="0" fillId="18" borderId="80" xfId="0" applyFill="1" applyBorder="1" applyAlignment="1" applyProtection="1">
      <alignment horizontal="center" vertical="center"/>
    </xf>
    <xf numFmtId="0" fontId="0" fillId="18" borderId="83" xfId="0" applyFill="1" applyBorder="1" applyAlignment="1" applyProtection="1">
      <alignment horizontal="center" vertical="center"/>
    </xf>
    <xf numFmtId="0" fontId="0" fillId="16" borderId="78" xfId="0" applyFill="1" applyBorder="1" applyAlignment="1" applyProtection="1">
      <alignment horizontal="center" vertical="center"/>
    </xf>
    <xf numFmtId="0" fontId="0" fillId="16" borderId="80" xfId="0" applyFill="1" applyBorder="1" applyAlignment="1" applyProtection="1">
      <alignment horizontal="center" vertical="center"/>
    </xf>
    <xf numFmtId="0" fontId="2" fillId="6" borderId="84" xfId="0" applyFont="1" applyFill="1" applyBorder="1" applyAlignment="1" applyProtection="1">
      <alignment horizontal="center" vertical="center"/>
    </xf>
    <xf numFmtId="0" fontId="2" fillId="6" borderId="85" xfId="0" applyFont="1" applyFill="1" applyBorder="1" applyAlignment="1" applyProtection="1">
      <alignment horizontal="center" vertical="center"/>
    </xf>
    <xf numFmtId="0" fontId="2" fillId="6" borderId="86" xfId="0" applyFont="1" applyFill="1" applyBorder="1" applyAlignment="1" applyProtection="1">
      <alignment horizontal="center" vertical="center"/>
    </xf>
    <xf numFmtId="0" fontId="0" fillId="16" borderId="83" xfId="0" applyFill="1" applyBorder="1" applyAlignment="1" applyProtection="1">
      <alignment horizontal="center" vertical="center"/>
    </xf>
    <xf numFmtId="0" fontId="0" fillId="5" borderId="32" xfId="0" applyFill="1" applyBorder="1" applyAlignment="1" applyProtection="1">
      <alignment horizontal="center" vertical="center"/>
    </xf>
    <xf numFmtId="0" fontId="0" fillId="5" borderId="19" xfId="0" applyFill="1" applyBorder="1" applyAlignment="1" applyProtection="1">
      <alignment horizontal="center" vertical="center"/>
    </xf>
    <xf numFmtId="10" fontId="0" fillId="5" borderId="19" xfId="4" applyNumberFormat="1" applyFont="1" applyFill="1" applyBorder="1" applyAlignment="1" applyProtection="1">
      <alignment horizontal="center" vertical="center"/>
    </xf>
    <xf numFmtId="0" fontId="0" fillId="15" borderId="77" xfId="0" applyFill="1" applyBorder="1" applyAlignment="1" applyProtection="1">
      <alignment horizontal="center" vertical="center"/>
    </xf>
    <xf numFmtId="0" fontId="0" fillId="17" borderId="77" xfId="0" applyFill="1" applyBorder="1" applyAlignment="1" applyProtection="1">
      <alignment horizontal="center" vertical="center"/>
    </xf>
    <xf numFmtId="0" fontId="0" fillId="15" borderId="73" xfId="0" applyFill="1" applyBorder="1" applyAlignment="1" applyProtection="1">
      <alignment horizontal="center" vertical="center"/>
    </xf>
    <xf numFmtId="0" fontId="0" fillId="17" borderId="73" xfId="0" applyFill="1" applyBorder="1" applyAlignment="1" applyProtection="1">
      <alignment horizontal="center" vertical="center"/>
    </xf>
    <xf numFmtId="0" fontId="0" fillId="15" borderId="82" xfId="0" applyFill="1" applyBorder="1" applyAlignment="1" applyProtection="1">
      <alignment horizontal="center" vertical="center"/>
    </xf>
    <xf numFmtId="0" fontId="0" fillId="17" borderId="82" xfId="0" applyFill="1" applyBorder="1" applyAlignment="1" applyProtection="1">
      <alignment horizontal="center" vertical="center"/>
    </xf>
    <xf numFmtId="0" fontId="0" fillId="18" borderId="77" xfId="0" applyFill="1" applyBorder="1" applyAlignment="1" applyProtection="1">
      <alignment horizontal="center" vertical="center"/>
    </xf>
    <xf numFmtId="0" fontId="0" fillId="16" borderId="77" xfId="0" applyFill="1" applyBorder="1" applyAlignment="1" applyProtection="1">
      <alignment horizontal="center" vertical="center"/>
    </xf>
    <xf numFmtId="0" fontId="0" fillId="18" borderId="73" xfId="0" applyFill="1" applyBorder="1" applyAlignment="1" applyProtection="1">
      <alignment horizontal="center" vertical="center"/>
    </xf>
    <xf numFmtId="0" fontId="0" fillId="16" borderId="73" xfId="0" applyFill="1" applyBorder="1" applyAlignment="1" applyProtection="1">
      <alignment horizontal="center" vertical="center"/>
    </xf>
    <xf numFmtId="0" fontId="0" fillId="18" borderId="82" xfId="0" applyFill="1" applyBorder="1" applyAlignment="1" applyProtection="1">
      <alignment horizontal="center" vertical="center"/>
    </xf>
    <xf numFmtId="0" fontId="0" fillId="16" borderId="82" xfId="0" applyFill="1" applyBorder="1" applyAlignment="1" applyProtection="1">
      <alignment horizontal="center" vertical="center"/>
    </xf>
    <xf numFmtId="0" fontId="0" fillId="13" borderId="76" xfId="0" applyNumberFormat="1" applyFill="1" applyBorder="1" applyAlignment="1" applyProtection="1">
      <alignment horizontal="left" vertical="center"/>
    </xf>
    <xf numFmtId="0" fontId="0" fillId="13" borderId="77" xfId="0" applyNumberFormat="1" applyFill="1" applyBorder="1" applyAlignment="1" applyProtection="1">
      <alignment horizontal="center" vertical="center"/>
    </xf>
    <xf numFmtId="0" fontId="0" fillId="14" borderId="76" xfId="0" applyNumberFormat="1" applyFill="1" applyBorder="1" applyAlignment="1" applyProtection="1">
      <alignment horizontal="left" vertical="center"/>
    </xf>
    <xf numFmtId="0" fontId="0" fillId="14" borderId="77" xfId="0" applyNumberFormat="1" applyFill="1" applyBorder="1" applyAlignment="1" applyProtection="1">
      <alignment horizontal="center" vertical="center"/>
    </xf>
    <xf numFmtId="0" fontId="0" fillId="15" borderId="76" xfId="0" applyNumberFormat="1" applyFill="1" applyBorder="1" applyAlignment="1" applyProtection="1">
      <alignment horizontal="left" vertical="center"/>
    </xf>
    <xf numFmtId="0" fontId="0" fillId="17" borderId="76" xfId="0" applyFill="1" applyBorder="1" applyAlignment="1" applyProtection="1">
      <alignment horizontal="left" vertical="center"/>
    </xf>
    <xf numFmtId="0" fontId="0" fillId="13" borderId="79" xfId="0" applyNumberFormat="1" applyFill="1" applyBorder="1" applyAlignment="1" applyProtection="1">
      <alignment horizontal="left" vertical="center"/>
    </xf>
    <xf numFmtId="0" fontId="0" fillId="13" borderId="73" xfId="0" applyNumberFormat="1" applyFill="1" applyBorder="1" applyAlignment="1" applyProtection="1">
      <alignment horizontal="center" vertical="center"/>
    </xf>
    <xf numFmtId="0" fontId="0" fillId="14" borderId="79" xfId="0" applyNumberFormat="1" applyFill="1" applyBorder="1" applyAlignment="1" applyProtection="1">
      <alignment horizontal="left" vertical="center"/>
    </xf>
    <xf numFmtId="0" fontId="0" fillId="14" borderId="73" xfId="0" applyNumberFormat="1" applyFill="1" applyBorder="1" applyAlignment="1" applyProtection="1">
      <alignment horizontal="center" vertical="center"/>
    </xf>
    <xf numFmtId="0" fontId="0" fillId="15" borderId="79" xfId="0" applyNumberFormat="1" applyFill="1" applyBorder="1" applyAlignment="1" applyProtection="1">
      <alignment horizontal="left" vertical="center"/>
    </xf>
    <xf numFmtId="0" fontId="0" fillId="17" borderId="79" xfId="0" applyFill="1" applyBorder="1" applyAlignment="1" applyProtection="1">
      <alignment horizontal="left" vertical="center"/>
    </xf>
    <xf numFmtId="0" fontId="0" fillId="13" borderId="81" xfId="0" applyNumberFormat="1" applyFill="1" applyBorder="1" applyAlignment="1" applyProtection="1">
      <alignment horizontal="left" vertical="center"/>
    </xf>
    <xf numFmtId="0" fontId="0" fillId="13" borderId="82" xfId="0" applyNumberFormat="1" applyFill="1" applyBorder="1" applyAlignment="1" applyProtection="1">
      <alignment horizontal="center" vertical="center"/>
    </xf>
    <xf numFmtId="0" fontId="0" fillId="14" borderId="81" xfId="0" applyNumberFormat="1" applyFill="1" applyBorder="1" applyAlignment="1" applyProtection="1">
      <alignment horizontal="left" vertical="center"/>
    </xf>
    <xf numFmtId="0" fontId="0" fillId="14" borderId="82" xfId="0" applyNumberFormat="1" applyFill="1" applyBorder="1" applyAlignment="1" applyProtection="1">
      <alignment horizontal="center" vertical="center"/>
    </xf>
    <xf numFmtId="0" fontId="0" fillId="15" borderId="81" xfId="0" applyNumberFormat="1" applyFill="1" applyBorder="1" applyAlignment="1" applyProtection="1">
      <alignment horizontal="left" vertical="center"/>
    </xf>
    <xf numFmtId="0" fontId="0" fillId="17" borderId="81" xfId="0" applyFill="1" applyBorder="1" applyAlignment="1" applyProtection="1">
      <alignment horizontal="left" vertical="center"/>
    </xf>
    <xf numFmtId="0" fontId="13" fillId="12" borderId="63" xfId="0" applyNumberFormat="1" applyFont="1" applyFill="1" applyBorder="1" applyAlignment="1" applyProtection="1">
      <alignment horizontal="left" vertical="center"/>
    </xf>
    <xf numFmtId="0" fontId="13" fillId="12" borderId="64" xfId="0" applyNumberFormat="1" applyFont="1" applyFill="1" applyBorder="1" applyAlignment="1" applyProtection="1">
      <alignment horizontal="center" vertical="center"/>
    </xf>
    <xf numFmtId="0" fontId="0" fillId="18" borderId="87" xfId="0" applyNumberFormat="1" applyFill="1" applyBorder="1" applyAlignment="1" applyProtection="1">
      <alignment horizontal="left" vertical="center"/>
    </xf>
    <xf numFmtId="0" fontId="0" fillId="16" borderId="76" xfId="4" applyNumberFormat="1" applyFont="1" applyFill="1" applyBorder="1" applyAlignment="1" applyProtection="1">
      <alignment horizontal="left" vertical="center"/>
    </xf>
    <xf numFmtId="0" fontId="13" fillId="12" borderId="65" xfId="0" applyNumberFormat="1" applyFont="1" applyFill="1" applyBorder="1" applyAlignment="1" applyProtection="1">
      <alignment horizontal="left" vertical="center"/>
    </xf>
    <xf numFmtId="0" fontId="13" fillId="12" borderId="48" xfId="0" applyNumberFormat="1" applyFont="1" applyFill="1" applyBorder="1" applyAlignment="1" applyProtection="1">
      <alignment horizontal="center" vertical="center"/>
    </xf>
    <xf numFmtId="0" fontId="0" fillId="18" borderId="75" xfId="0" applyNumberFormat="1" applyFill="1" applyBorder="1" applyAlignment="1" applyProtection="1">
      <alignment horizontal="left" vertical="center"/>
    </xf>
    <xf numFmtId="0" fontId="0" fillId="16" borderId="79" xfId="4" applyNumberFormat="1" applyFont="1" applyFill="1" applyBorder="1" applyAlignment="1" applyProtection="1">
      <alignment horizontal="left" vertical="center"/>
    </xf>
    <xf numFmtId="0" fontId="13" fillId="12" borderId="66" xfId="0" applyNumberFormat="1" applyFont="1" applyFill="1" applyBorder="1" applyAlignment="1" applyProtection="1">
      <alignment horizontal="left" vertical="center"/>
    </xf>
    <xf numFmtId="0" fontId="13" fillId="12" borderId="49" xfId="0" applyNumberFormat="1" applyFont="1" applyFill="1" applyBorder="1" applyAlignment="1" applyProtection="1">
      <alignment horizontal="center" vertical="center"/>
    </xf>
    <xf numFmtId="0" fontId="0" fillId="18" borderId="88" xfId="0" applyNumberFormat="1" applyFill="1" applyBorder="1" applyAlignment="1" applyProtection="1">
      <alignment horizontal="left" vertical="center"/>
    </xf>
    <xf numFmtId="0" fontId="0" fillId="16" borderId="81" xfId="4" applyNumberFormat="1" applyFont="1" applyFill="1" applyBorder="1" applyAlignment="1" applyProtection="1">
      <alignment horizontal="left" vertical="center"/>
    </xf>
    <xf numFmtId="0" fontId="0" fillId="5" borderId="34" xfId="0" applyFill="1" applyBorder="1" applyAlignment="1" applyProtection="1">
      <alignment horizontal="center" vertical="center"/>
    </xf>
    <xf numFmtId="15" fontId="0" fillId="20" borderId="16" xfId="0" applyNumberFormat="1" applyFill="1" applyBorder="1" applyAlignment="1" applyProtection="1">
      <alignment horizontal="center" vertical="center"/>
      <protection locked="0"/>
    </xf>
    <xf numFmtId="15" fontId="0" fillId="20" borderId="17" xfId="0" applyNumberFormat="1" applyFill="1" applyBorder="1" applyAlignment="1" applyProtection="1">
      <alignment horizontal="center" vertical="center"/>
      <protection locked="0"/>
    </xf>
    <xf numFmtId="15" fontId="0" fillId="20" borderId="13" xfId="0" applyNumberFormat="1" applyFill="1" applyBorder="1" applyAlignment="1" applyProtection="1">
      <alignment horizontal="center" vertical="center"/>
      <protection locked="0"/>
    </xf>
    <xf numFmtId="15" fontId="0" fillId="20" borderId="19" xfId="0" applyNumberFormat="1" applyFill="1" applyBorder="1" applyAlignment="1" applyProtection="1">
      <alignment horizontal="center" vertical="center"/>
      <protection locked="0"/>
    </xf>
    <xf numFmtId="15" fontId="0" fillId="20" borderId="23" xfId="0" applyNumberFormat="1" applyFill="1" applyBorder="1" applyAlignment="1" applyProtection="1">
      <alignment horizontal="center" vertical="center"/>
      <protection locked="0"/>
    </xf>
    <xf numFmtId="15" fontId="0" fillId="20" borderId="34" xfId="0" applyNumberFormat="1" applyFill="1" applyBorder="1" applyAlignment="1" applyProtection="1">
      <alignment horizontal="center" vertical="center"/>
      <protection locked="0"/>
    </xf>
    <xf numFmtId="0" fontId="2" fillId="5" borderId="91" xfId="0" applyFont="1" applyFill="1" applyBorder="1" applyAlignment="1" applyProtection="1">
      <alignment vertical="center"/>
    </xf>
    <xf numFmtId="0" fontId="2" fillId="5" borderId="53" xfId="0" applyFont="1" applyFill="1" applyBorder="1" applyAlignment="1" applyProtection="1">
      <alignment vertical="center"/>
    </xf>
    <xf numFmtId="0" fontId="2" fillId="5" borderId="89" xfId="0" applyFont="1" applyFill="1" applyBorder="1" applyAlignment="1" applyProtection="1">
      <alignment vertical="center"/>
    </xf>
    <xf numFmtId="0" fontId="0" fillId="13" borderId="13" xfId="0" applyFill="1" applyBorder="1" applyAlignment="1" applyProtection="1">
      <alignment horizontal="center" vertical="center"/>
      <protection locked="0"/>
    </xf>
    <xf numFmtId="0" fontId="0" fillId="14" borderId="13" xfId="0" applyFill="1" applyBorder="1" applyAlignment="1" applyProtection="1">
      <alignment horizontal="center" vertical="center"/>
      <protection locked="0"/>
    </xf>
    <xf numFmtId="0" fontId="0" fillId="15" borderId="13" xfId="0" applyFill="1" applyBorder="1" applyAlignment="1" applyProtection="1">
      <alignment horizontal="center" vertical="center"/>
      <protection locked="0"/>
    </xf>
    <xf numFmtId="0" fontId="0" fillId="17" borderId="13" xfId="0" applyFill="1" applyBorder="1" applyAlignment="1" applyProtection="1">
      <alignment horizontal="center" vertical="center"/>
      <protection locked="0"/>
    </xf>
    <xf numFmtId="0" fontId="0" fillId="16" borderId="13" xfId="0" applyFill="1" applyBorder="1" applyAlignment="1" applyProtection="1">
      <alignment horizontal="center" vertical="center"/>
      <protection locked="0"/>
    </xf>
    <xf numFmtId="0" fontId="0" fillId="18" borderId="13" xfId="0" applyFill="1" applyBorder="1" applyAlignment="1" applyProtection="1">
      <alignment horizontal="center" vertical="center"/>
      <protection locked="0"/>
    </xf>
    <xf numFmtId="0" fontId="0" fillId="13" borderId="15" xfId="0" applyNumberFormat="1" applyFill="1" applyBorder="1" applyAlignment="1" applyProtection="1">
      <alignment vertical="center"/>
      <protection locked="0"/>
    </xf>
    <xf numFmtId="0" fontId="0" fillId="13" borderId="16" xfId="0" applyFill="1" applyBorder="1" applyAlignment="1" applyProtection="1">
      <alignment horizontal="center" vertical="center"/>
      <protection locked="0"/>
    </xf>
    <xf numFmtId="0" fontId="0" fillId="13" borderId="17" xfId="4" applyNumberFormat="1" applyFont="1" applyFill="1" applyBorder="1" applyAlignment="1" applyProtection="1">
      <alignment horizontal="center" vertical="center"/>
    </xf>
    <xf numFmtId="0" fontId="0" fillId="13" borderId="18" xfId="0" applyNumberFormat="1" applyFill="1" applyBorder="1" applyAlignment="1" applyProtection="1">
      <alignment vertical="center"/>
      <protection locked="0"/>
    </xf>
    <xf numFmtId="0" fontId="0" fillId="13" borderId="19" xfId="4" applyNumberFormat="1" applyFont="1" applyFill="1" applyBorder="1" applyAlignment="1" applyProtection="1">
      <alignment horizontal="center" vertical="center"/>
    </xf>
    <xf numFmtId="0" fontId="0" fillId="13" borderId="18" xfId="0" applyFill="1" applyBorder="1" applyAlignment="1" applyProtection="1">
      <alignment vertical="center"/>
      <protection locked="0"/>
    </xf>
    <xf numFmtId="0" fontId="0" fillId="13" borderId="20" xfId="0" applyFill="1" applyBorder="1" applyAlignment="1" applyProtection="1">
      <alignment vertical="center"/>
      <protection locked="0"/>
    </xf>
    <xf numFmtId="0" fontId="0" fillId="13" borderId="21" xfId="0" applyFill="1" applyBorder="1" applyAlignment="1" applyProtection="1">
      <alignment horizontal="center" vertical="center"/>
      <protection locked="0"/>
    </xf>
    <xf numFmtId="0" fontId="0" fillId="13" borderId="22" xfId="4" applyNumberFormat="1" applyFont="1" applyFill="1" applyBorder="1" applyAlignment="1" applyProtection="1">
      <alignment horizontal="center" vertical="center"/>
    </xf>
    <xf numFmtId="0" fontId="0" fillId="14" borderId="15" xfId="0" applyNumberFormat="1" applyFill="1" applyBorder="1" applyAlignment="1" applyProtection="1">
      <alignment vertical="center"/>
      <protection locked="0"/>
    </xf>
    <xf numFmtId="0" fontId="0" fillId="14" borderId="16" xfId="0" applyFill="1" applyBorder="1" applyAlignment="1" applyProtection="1">
      <alignment horizontal="center" vertical="center"/>
      <protection locked="0"/>
    </xf>
    <xf numFmtId="0" fontId="0" fillId="14" borderId="17" xfId="0" applyFill="1" applyBorder="1" applyAlignment="1" applyProtection="1">
      <alignment horizontal="center" vertical="center"/>
    </xf>
    <xf numFmtId="0" fontId="0" fillId="14" borderId="18" xfId="0" applyNumberFormat="1" applyFill="1" applyBorder="1" applyAlignment="1" applyProtection="1">
      <alignment vertical="center"/>
      <protection locked="0"/>
    </xf>
    <xf numFmtId="0" fontId="0" fillId="14" borderId="19" xfId="0" applyFill="1" applyBorder="1" applyAlignment="1" applyProtection="1">
      <alignment horizontal="center" vertical="center"/>
    </xf>
    <xf numFmtId="0" fontId="0" fillId="14" borderId="18" xfId="0" applyFill="1" applyBorder="1" applyAlignment="1" applyProtection="1">
      <alignment vertical="center"/>
      <protection locked="0"/>
    </xf>
    <xf numFmtId="0" fontId="0" fillId="14" borderId="20" xfId="0" applyFill="1" applyBorder="1" applyAlignment="1" applyProtection="1">
      <alignment vertical="center"/>
      <protection locked="0"/>
    </xf>
    <xf numFmtId="0" fontId="0" fillId="14" borderId="21" xfId="0" applyFill="1" applyBorder="1" applyAlignment="1" applyProtection="1">
      <alignment horizontal="center" vertical="center"/>
      <protection locked="0"/>
    </xf>
    <xf numFmtId="0" fontId="0" fillId="14" borderId="22" xfId="0" applyFill="1" applyBorder="1" applyAlignment="1" applyProtection="1">
      <alignment horizontal="center" vertical="center"/>
    </xf>
    <xf numFmtId="0" fontId="0" fillId="15" borderId="15" xfId="0" applyNumberFormat="1" applyFill="1" applyBorder="1" applyAlignment="1" applyProtection="1">
      <alignment vertical="center"/>
      <protection locked="0"/>
    </xf>
    <xf numFmtId="0" fontId="0" fillId="15" borderId="16" xfId="0" applyFill="1" applyBorder="1" applyAlignment="1" applyProtection="1">
      <alignment horizontal="center" vertical="center"/>
      <protection locked="0"/>
    </xf>
    <xf numFmtId="0" fontId="0" fillId="15" borderId="17" xfId="0" applyFill="1" applyBorder="1" applyAlignment="1" applyProtection="1">
      <alignment horizontal="center" vertical="center"/>
    </xf>
    <xf numFmtId="0" fontId="0" fillId="15" borderId="18" xfId="0" applyNumberFormat="1" applyFill="1" applyBorder="1" applyAlignment="1" applyProtection="1">
      <alignment vertical="center"/>
      <protection locked="0"/>
    </xf>
    <xf numFmtId="0" fontId="0" fillId="15" borderId="19" xfId="0" applyFill="1" applyBorder="1" applyAlignment="1" applyProtection="1">
      <alignment horizontal="center" vertical="center"/>
    </xf>
    <xf numFmtId="0" fontId="0" fillId="15" borderId="18" xfId="0" applyFill="1" applyBorder="1" applyAlignment="1" applyProtection="1">
      <alignment vertical="center"/>
      <protection locked="0"/>
    </xf>
    <xf numFmtId="0" fontId="0" fillId="15" borderId="20" xfId="0" applyFill="1" applyBorder="1" applyAlignment="1" applyProtection="1">
      <alignment vertical="center"/>
      <protection locked="0"/>
    </xf>
    <xf numFmtId="0" fontId="0" fillId="15" borderId="21" xfId="0" applyFill="1" applyBorder="1" applyAlignment="1" applyProtection="1">
      <alignment horizontal="center" vertical="center"/>
      <protection locked="0"/>
    </xf>
    <xf numFmtId="0" fontId="0" fillId="15" borderId="22" xfId="0" applyFill="1" applyBorder="1" applyAlignment="1" applyProtection="1">
      <alignment horizontal="center" vertical="center"/>
    </xf>
    <xf numFmtId="0" fontId="0" fillId="17" borderId="15" xfId="0" applyFill="1" applyBorder="1" applyAlignment="1" applyProtection="1">
      <alignment vertical="center"/>
      <protection locked="0"/>
    </xf>
    <xf numFmtId="0" fontId="0" fillId="17" borderId="16" xfId="0" applyFill="1" applyBorder="1" applyAlignment="1" applyProtection="1">
      <alignment horizontal="center" vertical="center"/>
      <protection locked="0"/>
    </xf>
    <xf numFmtId="0" fontId="0" fillId="17" borderId="17" xfId="0" applyFill="1" applyBorder="1" applyAlignment="1" applyProtection="1">
      <alignment horizontal="center" vertical="center"/>
    </xf>
    <xf numFmtId="0" fontId="0" fillId="17" borderId="18" xfId="0" applyFill="1" applyBorder="1" applyAlignment="1" applyProtection="1">
      <alignment vertical="center"/>
      <protection locked="0"/>
    </xf>
    <xf numFmtId="0" fontId="0" fillId="17" borderId="19" xfId="0" applyFill="1" applyBorder="1" applyAlignment="1" applyProtection="1">
      <alignment horizontal="center" vertical="center"/>
    </xf>
    <xf numFmtId="0" fontId="0" fillId="17" borderId="20" xfId="0" applyFill="1" applyBorder="1" applyAlignment="1" applyProtection="1">
      <alignment vertical="center"/>
      <protection locked="0"/>
    </xf>
    <xf numFmtId="0" fontId="0" fillId="17" borderId="21" xfId="0" applyFill="1" applyBorder="1" applyAlignment="1" applyProtection="1">
      <alignment horizontal="center" vertical="center"/>
      <protection locked="0"/>
    </xf>
    <xf numFmtId="0" fontId="0" fillId="17" borderId="22" xfId="0" applyFill="1" applyBorder="1" applyAlignment="1" applyProtection="1">
      <alignment horizontal="center" vertical="center"/>
    </xf>
    <xf numFmtId="0" fontId="0" fillId="16" borderId="16" xfId="0" applyFill="1" applyBorder="1" applyAlignment="1" applyProtection="1">
      <alignment horizontal="center" vertical="center"/>
      <protection locked="0"/>
    </xf>
    <xf numFmtId="0" fontId="0" fillId="16" borderId="17" xfId="0" applyFill="1" applyBorder="1" applyAlignment="1" applyProtection="1">
      <alignment horizontal="center" vertical="center"/>
    </xf>
    <xf numFmtId="0" fontId="0" fillId="16" borderId="19" xfId="0" applyFill="1" applyBorder="1" applyAlignment="1" applyProtection="1">
      <alignment horizontal="center" vertical="center"/>
    </xf>
    <xf numFmtId="0" fontId="0" fillId="16" borderId="21" xfId="0" applyFill="1" applyBorder="1" applyAlignment="1" applyProtection="1">
      <alignment horizontal="center" vertical="center"/>
      <protection locked="0"/>
    </xf>
    <xf numFmtId="0" fontId="0" fillId="16" borderId="22" xfId="0" applyFill="1" applyBorder="1" applyAlignment="1" applyProtection="1">
      <alignment horizontal="center" vertical="center"/>
    </xf>
    <xf numFmtId="0" fontId="0" fillId="5" borderId="22" xfId="0" applyFill="1" applyBorder="1" applyAlignment="1" applyProtection="1">
      <alignment horizontal="center"/>
    </xf>
    <xf numFmtId="0" fontId="0" fillId="5" borderId="19" xfId="0" applyFill="1" applyBorder="1" applyAlignment="1" applyProtection="1">
      <alignment horizontal="left" vertical="center"/>
    </xf>
    <xf numFmtId="165" fontId="0" fillId="0" borderId="0" xfId="0" applyNumberFormat="1"/>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8" xfId="0" applyFont="1" applyBorder="1" applyAlignment="1">
      <alignment horizontal="center" vertical="center"/>
    </xf>
    <xf numFmtId="0" fontId="5" fillId="0" borderId="13" xfId="0" applyFont="1" applyBorder="1" applyAlignment="1">
      <alignment horizontal="center"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0" fillId="5" borderId="16" xfId="0" applyNumberFormat="1" applyFill="1" applyBorder="1" applyAlignment="1" applyProtection="1">
      <alignment horizontal="center" vertical="center"/>
      <protection locked="0"/>
    </xf>
    <xf numFmtId="0" fontId="0" fillId="5" borderId="13" xfId="0" applyNumberFormat="1" applyFill="1" applyBorder="1" applyAlignment="1" applyProtection="1">
      <alignment horizontal="center" vertical="center"/>
      <protection locked="0"/>
    </xf>
    <xf numFmtId="0" fontId="0" fillId="5" borderId="24" xfId="0" applyNumberFormat="1" applyFill="1" applyBorder="1" applyAlignment="1" applyProtection="1">
      <alignment horizontal="center" vertical="center"/>
      <protection locked="0"/>
    </xf>
    <xf numFmtId="0" fontId="2" fillId="5" borderId="53" xfId="0" applyFont="1" applyFill="1" applyBorder="1" applyAlignment="1" applyProtection="1">
      <alignment horizontal="center" vertical="center"/>
    </xf>
    <xf numFmtId="0" fontId="15" fillId="5" borderId="41" xfId="4" applyNumberFormat="1" applyFont="1" applyFill="1" applyBorder="1" applyAlignment="1" applyProtection="1">
      <alignment horizontal="center" vertical="center"/>
    </xf>
    <xf numFmtId="0" fontId="2" fillId="5" borderId="91" xfId="0" applyFont="1" applyFill="1" applyBorder="1" applyAlignment="1" applyProtection="1">
      <alignment horizontal="center" vertical="center"/>
    </xf>
    <xf numFmtId="9" fontId="2" fillId="5" borderId="96" xfId="0" applyNumberFormat="1" applyFont="1" applyFill="1" applyBorder="1" applyProtection="1"/>
    <xf numFmtId="0" fontId="15" fillId="5" borderId="93" xfId="4" applyNumberFormat="1" applyFont="1" applyFill="1" applyBorder="1" applyAlignment="1" applyProtection="1">
      <alignment horizontal="center" vertical="center"/>
    </xf>
    <xf numFmtId="9" fontId="2" fillId="5" borderId="97" xfId="0" applyNumberFormat="1" applyFont="1" applyFill="1" applyBorder="1" applyProtection="1"/>
    <xf numFmtId="0" fontId="15" fillId="5" borderId="37" xfId="4" applyNumberFormat="1" applyFont="1" applyFill="1" applyBorder="1" applyAlignment="1" applyProtection="1">
      <alignment horizontal="center" vertical="center"/>
    </xf>
    <xf numFmtId="0" fontId="2" fillId="5" borderId="74" xfId="0" applyFont="1" applyFill="1" applyBorder="1" applyAlignment="1" applyProtection="1">
      <alignment horizontal="center" vertical="center"/>
    </xf>
    <xf numFmtId="9" fontId="2" fillId="5" borderId="98" xfId="0" applyNumberFormat="1" applyFont="1" applyFill="1" applyBorder="1" applyProtection="1"/>
    <xf numFmtId="0" fontId="0" fillId="13" borderId="15" xfId="4" applyNumberFormat="1" applyFont="1" applyFill="1" applyBorder="1" applyAlignment="1" applyProtection="1">
      <alignment horizontal="center" vertical="center"/>
    </xf>
    <xf numFmtId="0" fontId="0" fillId="13" borderId="16" xfId="4" applyNumberFormat="1" applyFont="1" applyFill="1" applyBorder="1" applyAlignment="1" applyProtection="1">
      <alignment horizontal="center" vertical="center"/>
    </xf>
    <xf numFmtId="0" fontId="0" fillId="13" borderId="25" xfId="4" applyNumberFormat="1" applyFont="1" applyFill="1" applyBorder="1" applyAlignment="1" applyProtection="1">
      <alignment horizontal="center" vertical="center"/>
    </xf>
    <xf numFmtId="0" fontId="0" fillId="14" borderId="18" xfId="4" applyNumberFormat="1" applyFont="1" applyFill="1" applyBorder="1" applyAlignment="1" applyProtection="1">
      <alignment horizontal="center" vertical="center"/>
    </xf>
    <xf numFmtId="0" fontId="0" fillId="14" borderId="13" xfId="4" applyNumberFormat="1" applyFont="1" applyFill="1" applyBorder="1" applyAlignment="1" applyProtection="1">
      <alignment horizontal="center" vertical="center"/>
    </xf>
    <xf numFmtId="0" fontId="0" fillId="14" borderId="47" xfId="4" applyNumberFormat="1" applyFont="1" applyFill="1" applyBorder="1" applyAlignment="1" applyProtection="1">
      <alignment horizontal="center" vertical="center"/>
    </xf>
    <xf numFmtId="0" fontId="0" fillId="15" borderId="18" xfId="4" applyNumberFormat="1" applyFont="1" applyFill="1" applyBorder="1" applyAlignment="1" applyProtection="1">
      <alignment horizontal="center" vertical="center"/>
    </xf>
    <xf numFmtId="0" fontId="0" fillId="15" borderId="13" xfId="4" applyNumberFormat="1" applyFont="1" applyFill="1" applyBorder="1" applyAlignment="1" applyProtection="1">
      <alignment horizontal="center" vertical="center"/>
    </xf>
    <xf numFmtId="0" fontId="0" fillId="15" borderId="47" xfId="4" applyNumberFormat="1" applyFont="1" applyFill="1" applyBorder="1" applyAlignment="1" applyProtection="1">
      <alignment horizontal="center" vertical="center"/>
    </xf>
    <xf numFmtId="0" fontId="0" fillId="17" borderId="18" xfId="4" applyNumberFormat="1" applyFont="1" applyFill="1" applyBorder="1" applyAlignment="1" applyProtection="1">
      <alignment horizontal="center" vertical="center"/>
    </xf>
    <xf numFmtId="0" fontId="0" fillId="17" borderId="13" xfId="4" applyNumberFormat="1" applyFont="1" applyFill="1" applyBorder="1" applyAlignment="1" applyProtection="1">
      <alignment horizontal="center" vertical="center"/>
    </xf>
    <xf numFmtId="0" fontId="0" fillId="17" borderId="47" xfId="4" applyNumberFormat="1" applyFont="1" applyFill="1" applyBorder="1" applyAlignment="1" applyProtection="1">
      <alignment horizontal="center" vertical="center"/>
    </xf>
    <xf numFmtId="0" fontId="0" fillId="18" borderId="18" xfId="4" applyNumberFormat="1" applyFont="1" applyFill="1" applyBorder="1" applyAlignment="1" applyProtection="1">
      <alignment horizontal="center" vertical="center"/>
    </xf>
    <xf numFmtId="0" fontId="0" fillId="18" borderId="13" xfId="4" applyNumberFormat="1" applyFont="1" applyFill="1" applyBorder="1" applyAlignment="1" applyProtection="1">
      <alignment horizontal="center" vertical="center"/>
    </xf>
    <xf numFmtId="0" fontId="0" fillId="18" borderId="47" xfId="4" applyNumberFormat="1" applyFont="1" applyFill="1" applyBorder="1" applyAlignment="1" applyProtection="1">
      <alignment horizontal="center" vertical="center"/>
    </xf>
    <xf numFmtId="0" fontId="13" fillId="12" borderId="18" xfId="4" applyNumberFormat="1" applyFont="1" applyFill="1" applyBorder="1" applyAlignment="1" applyProtection="1">
      <alignment horizontal="center" vertical="center"/>
    </xf>
    <xf numFmtId="0" fontId="13" fillId="12" borderId="13" xfId="4" applyNumberFormat="1" applyFont="1" applyFill="1" applyBorder="1" applyAlignment="1" applyProtection="1">
      <alignment horizontal="center" vertical="center"/>
    </xf>
    <xf numFmtId="0" fontId="13" fillId="12" borderId="47" xfId="4" applyNumberFormat="1" applyFont="1" applyFill="1" applyBorder="1" applyAlignment="1" applyProtection="1">
      <alignment horizontal="center" vertical="center"/>
    </xf>
    <xf numFmtId="0" fontId="0" fillId="16" borderId="20" xfId="4" applyNumberFormat="1" applyFont="1" applyFill="1" applyBorder="1" applyAlignment="1" applyProtection="1">
      <alignment horizontal="center" vertical="center"/>
    </xf>
    <xf numFmtId="0" fontId="0" fillId="16" borderId="21" xfId="4" applyNumberFormat="1" applyFont="1" applyFill="1" applyBorder="1" applyAlignment="1" applyProtection="1">
      <alignment horizontal="center" vertical="center"/>
    </xf>
    <xf numFmtId="0" fontId="0" fillId="16" borderId="26" xfId="4" applyNumberFormat="1" applyFont="1" applyFill="1" applyBorder="1" applyAlignment="1" applyProtection="1">
      <alignment horizontal="center" vertical="center"/>
    </xf>
    <xf numFmtId="0" fontId="10" fillId="5" borderId="1" xfId="0" applyFont="1" applyFill="1" applyBorder="1" applyAlignment="1" applyProtection="1">
      <alignment horizontal="center" vertical="center"/>
    </xf>
    <xf numFmtId="0" fontId="4" fillId="11" borderId="1" xfId="0" applyFont="1" applyFill="1" applyBorder="1" applyAlignment="1" applyProtection="1">
      <alignment horizontal="center" vertical="center"/>
    </xf>
    <xf numFmtId="0" fontId="17" fillId="2" borderId="35" xfId="0" applyFont="1" applyFill="1" applyBorder="1" applyAlignment="1" applyProtection="1">
      <alignment horizontal="center" vertical="center"/>
    </xf>
    <xf numFmtId="0" fontId="2" fillId="21" borderId="1" xfId="0" applyFont="1" applyFill="1" applyBorder="1" applyAlignment="1" applyProtection="1">
      <alignment horizontal="center" vertical="center"/>
    </xf>
    <xf numFmtId="0" fontId="0" fillId="22" borderId="0" xfId="0" applyFill="1" applyBorder="1"/>
    <xf numFmtId="0" fontId="2" fillId="22" borderId="35" xfId="0" applyFont="1" applyFill="1" applyBorder="1" applyAlignment="1">
      <alignment horizontal="center" vertical="center"/>
    </xf>
    <xf numFmtId="0" fontId="0" fillId="22" borderId="89" xfId="0" applyFill="1" applyBorder="1"/>
    <xf numFmtId="0" fontId="0" fillId="22" borderId="36" xfId="0" applyFill="1" applyBorder="1"/>
    <xf numFmtId="0" fontId="0" fillId="22" borderId="105" xfId="0" applyFill="1" applyBorder="1"/>
    <xf numFmtId="0" fontId="0" fillId="22" borderId="106" xfId="0" applyFill="1" applyBorder="1"/>
    <xf numFmtId="0" fontId="0" fillId="22" borderId="107" xfId="0" applyFill="1" applyBorder="1"/>
    <xf numFmtId="0" fontId="0" fillId="22" borderId="108" xfId="0" applyFill="1" applyBorder="1"/>
    <xf numFmtId="0" fontId="0" fillId="22" borderId="109" xfId="0" applyFill="1" applyBorder="1"/>
    <xf numFmtId="0" fontId="0" fillId="22" borderId="0" xfId="0" applyFill="1"/>
    <xf numFmtId="0" fontId="2" fillId="22" borderId="89" xfId="0" applyFont="1" applyFill="1" applyBorder="1" applyAlignment="1">
      <alignment horizontal="center" vertical="center"/>
    </xf>
    <xf numFmtId="0" fontId="2" fillId="5" borderId="1" xfId="0" applyFont="1" applyFill="1" applyBorder="1" applyAlignment="1" applyProtection="1">
      <alignment horizontal="center" vertical="center"/>
    </xf>
    <xf numFmtId="0" fontId="0" fillId="18" borderId="15" xfId="0" applyNumberFormat="1" applyFill="1" applyBorder="1" applyAlignment="1" applyProtection="1">
      <alignment vertical="center"/>
      <protection locked="0"/>
    </xf>
    <xf numFmtId="0" fontId="0" fillId="18" borderId="16" xfId="0" applyFill="1" applyBorder="1" applyAlignment="1" applyProtection="1">
      <alignment horizontal="center" vertical="center"/>
      <protection locked="0"/>
    </xf>
    <xf numFmtId="0" fontId="0" fillId="18" borderId="17" xfId="0" applyFill="1" applyBorder="1" applyAlignment="1" applyProtection="1">
      <alignment horizontal="center" vertical="center"/>
    </xf>
    <xf numFmtId="0" fontId="0" fillId="18" borderId="18" xfId="0" applyNumberFormat="1" applyFill="1" applyBorder="1" applyAlignment="1" applyProtection="1">
      <alignment vertical="center"/>
      <protection locked="0"/>
    </xf>
    <xf numFmtId="0" fontId="0" fillId="18" borderId="19" xfId="0" applyFill="1" applyBorder="1" applyAlignment="1" applyProtection="1">
      <alignment horizontal="center" vertical="center"/>
    </xf>
    <xf numFmtId="0" fontId="0" fillId="18" borderId="18" xfId="0" applyFill="1" applyBorder="1" applyAlignment="1" applyProtection="1">
      <alignment vertical="center"/>
      <protection locked="0"/>
    </xf>
    <xf numFmtId="0" fontId="0" fillId="18" borderId="20" xfId="0" applyFill="1" applyBorder="1" applyAlignment="1" applyProtection="1">
      <alignment vertical="center"/>
      <protection locked="0"/>
    </xf>
    <xf numFmtId="0" fontId="0" fillId="18" borderId="21" xfId="0" applyFill="1" applyBorder="1" applyAlignment="1" applyProtection="1">
      <alignment horizontal="center" vertical="center"/>
      <protection locked="0"/>
    </xf>
    <xf numFmtId="0" fontId="0" fillId="18" borderId="22" xfId="0" applyFill="1" applyBorder="1" applyAlignment="1" applyProtection="1">
      <alignment horizontal="center" vertical="center"/>
    </xf>
    <xf numFmtId="0" fontId="0" fillId="16" borderId="15" xfId="4" applyNumberFormat="1" applyFont="1" applyFill="1" applyBorder="1" applyAlignment="1" applyProtection="1">
      <alignment vertical="center"/>
      <protection locked="0"/>
    </xf>
    <xf numFmtId="0" fontId="0" fillId="16" borderId="18" xfId="0" applyNumberFormat="1" applyFill="1" applyBorder="1" applyAlignment="1" applyProtection="1">
      <alignment vertical="center"/>
      <protection locked="0"/>
    </xf>
    <xf numFmtId="0" fontId="0" fillId="16" borderId="18" xfId="0" applyFill="1" applyBorder="1" applyAlignment="1" applyProtection="1">
      <alignment vertical="center"/>
      <protection locked="0"/>
    </xf>
    <xf numFmtId="0" fontId="0" fillId="16" borderId="20" xfId="0" applyFill="1" applyBorder="1" applyAlignment="1" applyProtection="1">
      <alignment vertical="center"/>
      <protection locked="0"/>
    </xf>
    <xf numFmtId="49" fontId="0" fillId="5" borderId="20" xfId="0" applyNumberFormat="1" applyFill="1" applyBorder="1" applyAlignment="1" applyProtection="1">
      <alignment horizontal="center" vertical="center"/>
    </xf>
    <xf numFmtId="0" fontId="2" fillId="21" borderId="43" xfId="0" applyFont="1" applyFill="1" applyBorder="1" applyAlignment="1" applyProtection="1">
      <alignment horizontal="center" vertical="center"/>
    </xf>
    <xf numFmtId="0" fontId="2" fillId="21" borderId="99" xfId="0" applyFont="1" applyFill="1" applyBorder="1" applyAlignment="1" applyProtection="1">
      <alignment horizontal="center" vertical="center"/>
    </xf>
    <xf numFmtId="0" fontId="2" fillId="21" borderId="30" xfId="0" applyFont="1" applyFill="1" applyBorder="1" applyAlignment="1" applyProtection="1">
      <alignment horizontal="center" vertical="center"/>
    </xf>
    <xf numFmtId="0" fontId="17" fillId="23" borderId="1" xfId="0" applyFont="1" applyFill="1" applyBorder="1" applyAlignment="1" applyProtection="1">
      <alignment horizontal="center" vertical="center"/>
    </xf>
    <xf numFmtId="0" fontId="2" fillId="21" borderId="93" xfId="0" applyFont="1" applyFill="1" applyBorder="1" applyAlignment="1" applyProtection="1">
      <alignment horizontal="center" vertical="center"/>
    </xf>
    <xf numFmtId="0" fontId="2" fillId="21" borderId="37" xfId="0" applyFont="1" applyFill="1" applyBorder="1" applyAlignment="1" applyProtection="1">
      <alignment horizontal="center" vertical="center"/>
    </xf>
    <xf numFmtId="0" fontId="2" fillId="21" borderId="41" xfId="0" applyFont="1" applyFill="1" applyBorder="1" applyAlignment="1" applyProtection="1">
      <alignment horizontal="center" vertical="center"/>
    </xf>
    <xf numFmtId="49" fontId="0" fillId="13" borderId="114" xfId="0" applyNumberFormat="1" applyFont="1" applyFill="1" applyBorder="1" applyAlignment="1" applyProtection="1">
      <alignment horizontal="left" vertical="center"/>
      <protection locked="0"/>
    </xf>
    <xf numFmtId="49" fontId="0" fillId="13" borderId="97" xfId="0" applyNumberFormat="1" applyFont="1" applyFill="1" applyBorder="1" applyAlignment="1" applyProtection="1">
      <alignment horizontal="left" vertical="center"/>
      <protection locked="0"/>
    </xf>
    <xf numFmtId="49" fontId="0" fillId="13" borderId="98" xfId="0" applyNumberFormat="1" applyFont="1" applyFill="1" applyBorder="1" applyAlignment="1" applyProtection="1">
      <alignment horizontal="left" vertical="center"/>
      <protection locked="0"/>
    </xf>
    <xf numFmtId="49" fontId="0" fillId="13" borderId="45" xfId="0" applyNumberFormat="1" applyFill="1" applyBorder="1" applyAlignment="1" applyProtection="1">
      <alignment vertical="center"/>
      <protection locked="0"/>
    </xf>
    <xf numFmtId="49" fontId="0" fillId="13" borderId="16" xfId="0" applyNumberFormat="1" applyFill="1" applyBorder="1" applyAlignment="1" applyProtection="1">
      <alignment vertical="center"/>
      <protection locked="0"/>
    </xf>
    <xf numFmtId="49" fontId="0" fillId="13" borderId="25" xfId="0" applyNumberFormat="1" applyFill="1" applyBorder="1" applyAlignment="1" applyProtection="1">
      <alignment vertical="center"/>
      <protection locked="0"/>
    </xf>
    <xf numFmtId="49" fontId="0" fillId="13" borderId="14" xfId="0" applyNumberFormat="1" applyFill="1" applyBorder="1" applyAlignment="1" applyProtection="1">
      <alignment vertical="center"/>
      <protection locked="0"/>
    </xf>
    <xf numFmtId="49" fontId="0" fillId="13" borderId="13" xfId="0" applyNumberFormat="1" applyFill="1" applyBorder="1" applyAlignment="1" applyProtection="1">
      <alignment vertical="center"/>
      <protection locked="0"/>
    </xf>
    <xf numFmtId="49" fontId="0" fillId="13" borderId="47" xfId="0" applyNumberFormat="1" applyFill="1" applyBorder="1" applyAlignment="1" applyProtection="1">
      <alignment vertical="center"/>
      <protection locked="0"/>
    </xf>
    <xf numFmtId="49" fontId="0" fillId="13" borderId="36" xfId="0" applyNumberFormat="1" applyFill="1" applyBorder="1" applyAlignment="1" applyProtection="1">
      <alignment vertical="center"/>
      <protection locked="0"/>
    </xf>
    <xf numFmtId="49" fontId="0" fillId="13" borderId="23" xfId="0" applyNumberFormat="1" applyFill="1" applyBorder="1" applyAlignment="1" applyProtection="1">
      <alignment vertical="center"/>
      <protection locked="0"/>
    </xf>
    <xf numFmtId="49" fontId="0" fillId="13" borderId="35" xfId="0" applyNumberFormat="1" applyFill="1" applyBorder="1" applyAlignment="1" applyProtection="1">
      <alignment vertical="center"/>
      <protection locked="0"/>
    </xf>
    <xf numFmtId="49" fontId="0" fillId="13" borderId="113" xfId="0" applyNumberFormat="1" applyFill="1" applyBorder="1" applyProtection="1">
      <protection locked="0"/>
    </xf>
    <xf numFmtId="0" fontId="2" fillId="25" borderId="1" xfId="0" applyFont="1" applyFill="1" applyBorder="1" applyAlignment="1">
      <alignment vertical="center"/>
    </xf>
    <xf numFmtId="0" fontId="0" fillId="26" borderId="0" xfId="0" applyFill="1" applyProtection="1"/>
    <xf numFmtId="0" fontId="15" fillId="21" borderId="9" xfId="0" applyFont="1" applyFill="1" applyBorder="1" applyAlignment="1" applyProtection="1">
      <alignment horizontal="center" vertical="center"/>
    </xf>
    <xf numFmtId="0" fontId="15" fillId="21" borderId="117" xfId="0" applyFont="1" applyFill="1" applyBorder="1" applyAlignment="1" applyProtection="1">
      <alignment horizontal="center" vertical="center"/>
    </xf>
    <xf numFmtId="0" fontId="15" fillId="21" borderId="8" xfId="0" applyFont="1" applyFill="1" applyBorder="1" applyAlignment="1" applyProtection="1">
      <alignment horizontal="center" vertical="center"/>
    </xf>
    <xf numFmtId="0" fontId="0" fillId="26" borderId="0" xfId="0" applyNumberFormat="1" applyFill="1" applyProtection="1"/>
    <xf numFmtId="0" fontId="4" fillId="26" borderId="0" xfId="0" applyNumberFormat="1" applyFont="1" applyFill="1" applyAlignment="1" applyProtection="1">
      <alignment horizontal="center" vertical="center"/>
    </xf>
    <xf numFmtId="0" fontId="0" fillId="26" borderId="0" xfId="0" applyFill="1" applyBorder="1" applyProtection="1"/>
    <xf numFmtId="15" fontId="0" fillId="26" borderId="0" xfId="0" applyNumberFormat="1" applyFill="1" applyProtection="1"/>
    <xf numFmtId="0" fontId="0" fillId="26" borderId="0" xfId="0" applyFill="1" applyAlignment="1" applyProtection="1">
      <alignment horizontal="center" vertical="center"/>
    </xf>
    <xf numFmtId="0" fontId="0" fillId="26" borderId="0" xfId="0" applyFill="1" applyAlignment="1" applyProtection="1">
      <alignment vertical="center"/>
    </xf>
    <xf numFmtId="167" fontId="0" fillId="26" borderId="0" xfId="0" applyNumberFormat="1" applyFill="1" applyAlignment="1" applyProtection="1">
      <alignment vertical="center"/>
    </xf>
    <xf numFmtId="0" fontId="0" fillId="27" borderId="0" xfId="0" applyFill="1" applyAlignment="1" applyProtection="1">
      <alignment horizontal="center" vertical="center"/>
    </xf>
    <xf numFmtId="167" fontId="0" fillId="27" borderId="0" xfId="0" applyNumberFormat="1" applyFill="1" applyAlignment="1" applyProtection="1">
      <alignment horizontal="center" vertical="center"/>
    </xf>
    <xf numFmtId="0" fontId="0" fillId="27" borderId="0" xfId="0" applyFill="1" applyProtection="1"/>
    <xf numFmtId="0" fontId="0" fillId="27" borderId="0" xfId="0" applyFill="1" applyBorder="1" applyProtection="1"/>
    <xf numFmtId="0" fontId="0" fillId="27" borderId="0" xfId="0" applyNumberFormat="1" applyFill="1" applyProtection="1"/>
    <xf numFmtId="0" fontId="0" fillId="5" borderId="19" xfId="0" applyFill="1" applyBorder="1" applyAlignment="1" applyProtection="1">
      <alignment horizontal="right" vertical="center"/>
    </xf>
    <xf numFmtId="0" fontId="0" fillId="19" borderId="100" xfId="5" applyFont="1" applyBorder="1" applyAlignment="1">
      <alignment horizontal="left" vertical="top" wrapText="1"/>
    </xf>
    <xf numFmtId="0" fontId="0" fillId="19" borderId="101" xfId="5" applyFont="1" applyBorder="1" applyAlignment="1">
      <alignment horizontal="left" vertical="top" wrapText="1"/>
    </xf>
    <xf numFmtId="0" fontId="0" fillId="19" borderId="102" xfId="5" applyFont="1" applyBorder="1" applyAlignment="1">
      <alignment horizontal="left" vertical="top" wrapText="1"/>
    </xf>
    <xf numFmtId="0" fontId="0" fillId="19" borderId="103" xfId="5" applyFont="1" applyBorder="1" applyAlignment="1">
      <alignment horizontal="left" vertical="top" wrapText="1"/>
    </xf>
    <xf numFmtId="0" fontId="0" fillId="19" borderId="90" xfId="5" applyFont="1" applyBorder="1" applyAlignment="1">
      <alignment horizontal="left" vertical="top" wrapText="1"/>
    </xf>
    <xf numFmtId="0" fontId="0" fillId="19" borderId="104" xfId="5" applyFont="1" applyBorder="1" applyAlignment="1">
      <alignment horizontal="left" vertical="top" wrapText="1"/>
    </xf>
    <xf numFmtId="0" fontId="0" fillId="19" borderId="110" xfId="5" applyFont="1" applyBorder="1" applyAlignment="1">
      <alignment horizontal="left" vertical="top" wrapText="1"/>
    </xf>
    <xf numFmtId="0" fontId="0" fillId="19" borderId="111" xfId="5" applyFont="1" applyBorder="1" applyAlignment="1">
      <alignment horizontal="left" vertical="top" wrapText="1"/>
    </xf>
    <xf numFmtId="0" fontId="0" fillId="19" borderId="112" xfId="5" applyFont="1" applyBorder="1" applyAlignment="1">
      <alignment horizontal="left" vertical="top" wrapText="1"/>
    </xf>
    <xf numFmtId="0" fontId="23" fillId="25" borderId="5" xfId="0" applyFont="1" applyFill="1" applyBorder="1" applyAlignment="1">
      <alignment horizontal="left" vertical="top" wrapText="1"/>
    </xf>
    <xf numFmtId="0" fontId="23" fillId="25" borderId="6" xfId="0" applyFont="1" applyFill="1" applyBorder="1" applyAlignment="1">
      <alignment horizontal="left" vertical="top" wrapText="1"/>
    </xf>
    <xf numFmtId="0" fontId="23" fillId="25" borderId="7" xfId="0" applyFont="1" applyFill="1" applyBorder="1" applyAlignment="1">
      <alignment horizontal="left" vertical="top" wrapText="1"/>
    </xf>
    <xf numFmtId="0" fontId="23" fillId="25" borderId="10" xfId="0" applyFont="1" applyFill="1" applyBorder="1" applyAlignment="1">
      <alignment horizontal="left" vertical="top" wrapText="1"/>
    </xf>
    <xf numFmtId="0" fontId="23" fillId="25" borderId="11" xfId="0" applyFont="1" applyFill="1" applyBorder="1" applyAlignment="1">
      <alignment horizontal="left" vertical="top" wrapText="1"/>
    </xf>
    <xf numFmtId="0" fontId="23" fillId="25" borderId="12" xfId="0" applyFont="1" applyFill="1" applyBorder="1" applyAlignment="1">
      <alignment horizontal="left" vertical="top" wrapText="1"/>
    </xf>
    <xf numFmtId="0" fontId="25" fillId="15" borderId="41" xfId="6" applyFont="1" applyFill="1" applyBorder="1" applyAlignment="1">
      <alignment horizontal="left" vertical="center"/>
    </xf>
    <xf numFmtId="0" fontId="25" fillId="15" borderId="91" xfId="6" applyFont="1" applyFill="1" applyBorder="1" applyAlignment="1">
      <alignment horizontal="left" vertical="center"/>
    </xf>
    <xf numFmtId="0" fontId="25" fillId="15" borderId="96" xfId="6" applyFont="1" applyFill="1" applyBorder="1" applyAlignment="1">
      <alignment horizontal="left" vertical="center"/>
    </xf>
    <xf numFmtId="0" fontId="25" fillId="15" borderId="37" xfId="6" applyFont="1" applyFill="1" applyBorder="1" applyAlignment="1">
      <alignment horizontal="left" vertical="center"/>
    </xf>
    <xf numFmtId="0" fontId="25" fillId="15" borderId="74" xfId="6" applyFont="1" applyFill="1" applyBorder="1" applyAlignment="1">
      <alignment horizontal="left" vertical="center"/>
    </xf>
    <xf numFmtId="0" fontId="25" fillId="15" borderId="98" xfId="6" applyFont="1" applyFill="1" applyBorder="1" applyAlignment="1">
      <alignment horizontal="left" vertic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7" fillId="0" borderId="0" xfId="0" applyFont="1" applyAlignment="1" applyProtection="1">
      <alignment horizontal="right"/>
    </xf>
    <xf numFmtId="0" fontId="7" fillId="0" borderId="0" xfId="0" applyFont="1" applyAlignment="1" applyProtection="1">
      <alignment horizontal="center"/>
    </xf>
    <xf numFmtId="0" fontId="7" fillId="0" borderId="0" xfId="0" applyFont="1" applyAlignment="1">
      <alignment horizontal="center"/>
    </xf>
    <xf numFmtId="15" fontId="6" fillId="0" borderId="11" xfId="0" applyNumberFormat="1" applyFont="1" applyBorder="1" applyAlignment="1">
      <alignment horizontal="center"/>
    </xf>
    <xf numFmtId="164" fontId="6" fillId="0" borderId="11" xfId="0" applyNumberFormat="1" applyFont="1" applyBorder="1" applyAlignment="1">
      <alignment horizontal="center"/>
    </xf>
    <xf numFmtId="0" fontId="5" fillId="3" borderId="29" xfId="0" applyFont="1" applyFill="1" applyBorder="1" applyAlignment="1">
      <alignment horizontal="center"/>
    </xf>
    <xf numFmtId="0" fontId="5" fillId="3" borderId="4" xfId="0" applyFont="1" applyFill="1" applyBorder="1" applyAlignment="1">
      <alignment horizontal="center"/>
    </xf>
    <xf numFmtId="165" fontId="2" fillId="5" borderId="93" xfId="0" applyNumberFormat="1" applyFont="1" applyFill="1" applyBorder="1" applyAlignment="1">
      <alignment horizontal="center" vertical="center"/>
    </xf>
    <xf numFmtId="49" fontId="0" fillId="5" borderId="19" xfId="0" applyNumberFormat="1" applyFill="1" applyBorder="1" applyAlignment="1" applyProtection="1">
      <alignment horizontal="center" vertical="center"/>
      <protection locked="0"/>
    </xf>
    <xf numFmtId="0" fontId="2" fillId="5" borderId="38" xfId="0" applyFont="1" applyFill="1" applyBorder="1" applyAlignment="1">
      <alignment horizontal="center" vertical="center"/>
    </xf>
    <xf numFmtId="0" fontId="2" fillId="5" borderId="39" xfId="0" applyFont="1" applyFill="1" applyBorder="1" applyAlignment="1">
      <alignment horizontal="center" vertical="center"/>
    </xf>
    <xf numFmtId="0" fontId="2" fillId="5" borderId="40"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5" xfId="0" applyFont="1" applyFill="1" applyBorder="1" applyAlignment="1">
      <alignment horizontal="center" vertical="center"/>
    </xf>
    <xf numFmtId="0" fontId="2" fillId="5" borderId="17" xfId="0" applyFont="1" applyFill="1" applyBorder="1" applyAlignment="1">
      <alignment horizontal="center" vertical="center"/>
    </xf>
    <xf numFmtId="165" fontId="2" fillId="5" borderId="41" xfId="0" applyNumberFormat="1" applyFont="1" applyFill="1" applyBorder="1" applyAlignment="1">
      <alignment horizontal="center" vertical="center"/>
    </xf>
    <xf numFmtId="49" fontId="0" fillId="5" borderId="17" xfId="0" applyNumberFormat="1" applyFill="1" applyBorder="1" applyAlignment="1" applyProtection="1">
      <alignment horizontal="center" vertical="center"/>
      <protection locked="0"/>
    </xf>
    <xf numFmtId="165" fontId="2" fillId="5" borderId="92" xfId="0" applyNumberFormat="1" applyFont="1" applyFill="1" applyBorder="1" applyAlignment="1">
      <alignment horizontal="center" vertical="center"/>
    </xf>
    <xf numFmtId="165" fontId="2" fillId="5" borderId="37" xfId="0" applyNumberFormat="1" applyFont="1" applyFill="1" applyBorder="1" applyAlignment="1">
      <alignment horizontal="center" vertical="center"/>
    </xf>
    <xf numFmtId="49" fontId="0" fillId="5" borderId="32" xfId="0" applyNumberFormat="1" applyFill="1" applyBorder="1" applyAlignment="1" applyProtection="1">
      <alignment horizontal="center" vertical="center"/>
      <protection locked="0"/>
    </xf>
    <xf numFmtId="49" fontId="0" fillId="5" borderId="22" xfId="0" applyNumberFormat="1" applyFill="1" applyBorder="1" applyAlignment="1" applyProtection="1">
      <alignment horizontal="center" vertical="center"/>
      <protection locked="0"/>
    </xf>
    <xf numFmtId="0" fontId="2" fillId="5" borderId="8" xfId="0" applyFont="1" applyFill="1" applyBorder="1" applyAlignment="1">
      <alignment horizontal="center" vertical="center"/>
    </xf>
    <xf numFmtId="0" fontId="2" fillId="5" borderId="10" xfId="0" applyFont="1" applyFill="1" applyBorder="1" applyAlignment="1">
      <alignment horizontal="center" vertical="center"/>
    </xf>
    <xf numFmtId="0" fontId="2" fillId="5" borderId="33" xfId="0" applyFont="1" applyFill="1" applyBorder="1" applyAlignment="1">
      <alignment horizontal="center" vertical="center"/>
    </xf>
    <xf numFmtId="0" fontId="2" fillId="5" borderId="92" xfId="0" applyFont="1" applyFill="1" applyBorder="1" applyAlignment="1">
      <alignment horizontal="center" vertical="center"/>
    </xf>
    <xf numFmtId="0" fontId="2" fillId="5" borderId="5" xfId="0" applyFont="1" applyFill="1" applyBorder="1" applyAlignment="1">
      <alignment horizontal="center"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4" xfId="0" applyFont="1" applyFill="1" applyBorder="1" applyAlignment="1">
      <alignment horizontal="center" vertical="center"/>
    </xf>
    <xf numFmtId="165" fontId="2" fillId="5" borderId="33" xfId="0" applyNumberFormat="1" applyFont="1" applyFill="1" applyBorder="1" applyAlignment="1">
      <alignment horizontal="center" vertical="center"/>
    </xf>
    <xf numFmtId="49" fontId="0" fillId="5" borderId="34" xfId="0" applyNumberFormat="1" applyFill="1" applyBorder="1" applyAlignment="1" applyProtection="1">
      <alignment horizontal="center" vertical="center"/>
      <protection locked="0"/>
    </xf>
    <xf numFmtId="165" fontId="2" fillId="5" borderId="5" xfId="0" applyNumberFormat="1" applyFont="1" applyFill="1" applyBorder="1" applyAlignment="1">
      <alignment horizontal="center" vertical="center"/>
    </xf>
    <xf numFmtId="49" fontId="0" fillId="5" borderId="94" xfId="0" applyNumberFormat="1" applyFill="1" applyBorder="1" applyAlignment="1" applyProtection="1">
      <alignment horizontal="center" vertical="center"/>
      <protection locked="0"/>
    </xf>
    <xf numFmtId="165" fontId="2" fillId="5" borderId="8" xfId="0" applyNumberFormat="1" applyFont="1" applyFill="1" applyBorder="1" applyAlignment="1" applyProtection="1">
      <alignment horizontal="center" vertical="center"/>
    </xf>
    <xf numFmtId="165" fontId="2" fillId="5" borderId="10" xfId="0" applyNumberFormat="1" applyFont="1" applyFill="1" applyBorder="1" applyAlignment="1" applyProtection="1">
      <alignment horizontal="center" vertical="center"/>
    </xf>
    <xf numFmtId="49" fontId="0" fillId="5" borderId="95" xfId="0" applyNumberFormat="1" applyFill="1" applyBorder="1" applyAlignment="1" applyProtection="1">
      <alignment horizontal="center" vertical="center"/>
      <protection locked="0"/>
    </xf>
    <xf numFmtId="165" fontId="2" fillId="5" borderId="10" xfId="0" applyNumberFormat="1" applyFont="1" applyFill="1" applyBorder="1" applyAlignment="1">
      <alignment horizontal="center" vertical="center"/>
    </xf>
    <xf numFmtId="165" fontId="2" fillId="5" borderId="92" xfId="0" applyNumberFormat="1" applyFont="1" applyFill="1" applyBorder="1" applyAlignment="1" applyProtection="1">
      <alignment horizontal="center" vertical="center"/>
    </xf>
    <xf numFmtId="165" fontId="2" fillId="5" borderId="33" xfId="0" applyNumberFormat="1" applyFont="1" applyFill="1" applyBorder="1" applyAlignment="1" applyProtection="1">
      <alignment horizontal="center" vertical="center"/>
    </xf>
    <xf numFmtId="165" fontId="2" fillId="5" borderId="37" xfId="0" applyNumberFormat="1" applyFont="1" applyFill="1" applyBorder="1" applyAlignment="1" applyProtection="1">
      <alignment horizontal="center" vertical="center"/>
    </xf>
    <xf numFmtId="0" fontId="0" fillId="27" borderId="0" xfId="0" applyFill="1" applyAlignment="1" applyProtection="1">
      <alignment horizontal="center" vertical="center"/>
    </xf>
    <xf numFmtId="0" fontId="16" fillId="5" borderId="5" xfId="0" applyFont="1" applyFill="1" applyBorder="1" applyAlignment="1" applyProtection="1">
      <alignment horizontal="center" vertical="center"/>
    </xf>
    <xf numFmtId="0" fontId="16" fillId="5" borderId="6" xfId="0" applyFont="1" applyFill="1" applyBorder="1" applyAlignment="1" applyProtection="1">
      <alignment horizontal="center" vertical="center"/>
    </xf>
    <xf numFmtId="0" fontId="16" fillId="5" borderId="7" xfId="0" applyFont="1" applyFill="1" applyBorder="1" applyAlignment="1" applyProtection="1">
      <alignment horizontal="center" vertical="center"/>
    </xf>
    <xf numFmtId="0" fontId="0" fillId="5" borderId="53" xfId="0" applyFill="1" applyBorder="1" applyAlignment="1" applyProtection="1">
      <alignment horizontal="left" vertical="center"/>
    </xf>
    <xf numFmtId="0" fontId="0" fillId="5" borderId="14" xfId="0" applyFill="1" applyBorder="1" applyAlignment="1" applyProtection="1">
      <alignment horizontal="left" vertical="center"/>
    </xf>
    <xf numFmtId="0" fontId="0" fillId="5" borderId="74" xfId="0" applyFill="1" applyBorder="1" applyAlignment="1" applyProtection="1">
      <alignment horizontal="left" vertical="center"/>
    </xf>
    <xf numFmtId="0" fontId="0" fillId="5" borderId="28" xfId="0" applyFill="1" applyBorder="1" applyAlignment="1" applyProtection="1">
      <alignment horizontal="left" vertical="center"/>
    </xf>
    <xf numFmtId="0" fontId="2" fillId="5" borderId="41" xfId="0" applyFont="1" applyFill="1" applyBorder="1" applyAlignment="1" applyProtection="1">
      <alignment horizontal="left" vertical="center"/>
    </xf>
    <xf numFmtId="0" fontId="2" fillId="5" borderId="45" xfId="0" applyFont="1" applyFill="1" applyBorder="1" applyAlignment="1" applyProtection="1">
      <alignment horizontal="left" vertical="center"/>
    </xf>
    <xf numFmtId="0" fontId="2" fillId="5" borderId="53" xfId="0" applyFont="1" applyFill="1" applyBorder="1" applyAlignment="1" applyProtection="1">
      <alignment horizontal="left" vertical="center"/>
    </xf>
    <xf numFmtId="0" fontId="2" fillId="5" borderId="14" xfId="0" applyFont="1" applyFill="1" applyBorder="1" applyAlignment="1" applyProtection="1">
      <alignment horizontal="left" vertical="center"/>
    </xf>
    <xf numFmtId="0" fontId="2" fillId="21" borderId="3" xfId="0" applyFont="1" applyFill="1" applyBorder="1" applyAlignment="1" applyProtection="1">
      <alignment horizontal="center" vertical="center"/>
    </xf>
    <xf numFmtId="0" fontId="2" fillId="21" borderId="4" xfId="0" applyFont="1" applyFill="1" applyBorder="1" applyAlignment="1" applyProtection="1">
      <alignment horizontal="center" vertical="center"/>
    </xf>
    <xf numFmtId="0" fontId="11" fillId="2" borderId="50" xfId="0" applyFont="1" applyFill="1" applyBorder="1" applyAlignment="1" applyProtection="1">
      <alignment horizontal="center" vertical="center"/>
    </xf>
    <xf numFmtId="0" fontId="11" fillId="2" borderId="51" xfId="0" applyFont="1" applyFill="1" applyBorder="1" applyAlignment="1" applyProtection="1">
      <alignment horizontal="center" vertical="center"/>
    </xf>
    <xf numFmtId="0" fontId="11" fillId="2" borderId="52" xfId="0" applyFont="1" applyFill="1" applyBorder="1" applyAlignment="1" applyProtection="1">
      <alignment horizontal="center" vertical="center"/>
    </xf>
    <xf numFmtId="0" fontId="4" fillId="7" borderId="3" xfId="0" applyFont="1" applyFill="1" applyBorder="1" applyAlignment="1" applyProtection="1">
      <alignment horizontal="center" vertical="center"/>
    </xf>
    <xf numFmtId="0" fontId="4" fillId="7" borderId="4" xfId="0" applyFont="1" applyFill="1" applyBorder="1" applyAlignment="1" applyProtection="1">
      <alignment horizontal="center" vertical="center"/>
    </xf>
    <xf numFmtId="0" fontId="4" fillId="6" borderId="2" xfId="0" applyFont="1" applyFill="1" applyBorder="1" applyAlignment="1" applyProtection="1">
      <alignment horizontal="center" vertical="center"/>
    </xf>
    <xf numFmtId="0" fontId="4" fillId="6" borderId="3" xfId="0" applyFont="1" applyFill="1" applyBorder="1" applyAlignment="1" applyProtection="1">
      <alignment horizontal="center" vertical="center"/>
    </xf>
    <xf numFmtId="0" fontId="2" fillId="5" borderId="38" xfId="0" applyFont="1" applyFill="1" applyBorder="1" applyAlignment="1" applyProtection="1">
      <alignment horizontal="center" vertical="center"/>
    </xf>
    <xf numFmtId="0" fontId="2" fillId="5" borderId="39" xfId="0" applyFont="1" applyFill="1" applyBorder="1" applyAlignment="1" applyProtection="1">
      <alignment horizontal="center" vertical="center"/>
    </xf>
    <xf numFmtId="0" fontId="2" fillId="5" borderId="40" xfId="0" applyFont="1" applyFill="1" applyBorder="1" applyAlignment="1" applyProtection="1">
      <alignment horizontal="center" vertical="center"/>
    </xf>
    <xf numFmtId="0" fontId="4" fillId="11" borderId="2" xfId="0" applyFont="1" applyFill="1" applyBorder="1" applyAlignment="1" applyProtection="1">
      <alignment horizontal="center" vertical="center"/>
    </xf>
    <xf numFmtId="0" fontId="4" fillId="11" borderId="3" xfId="0" applyFont="1" applyFill="1" applyBorder="1" applyAlignment="1" applyProtection="1">
      <alignment horizontal="center" vertical="center"/>
    </xf>
    <xf numFmtId="0" fontId="4" fillId="11" borderId="4" xfId="0" applyFont="1" applyFill="1" applyBorder="1" applyAlignment="1" applyProtection="1">
      <alignment horizontal="center" vertical="center"/>
    </xf>
    <xf numFmtId="0" fontId="4" fillId="10" borderId="2" xfId="0" applyFont="1" applyFill="1" applyBorder="1" applyAlignment="1" applyProtection="1">
      <alignment horizontal="center" vertical="center"/>
    </xf>
    <xf numFmtId="0" fontId="4" fillId="10" borderId="3" xfId="0" applyFont="1" applyFill="1" applyBorder="1" applyAlignment="1" applyProtection="1">
      <alignment horizontal="center" vertical="center"/>
    </xf>
    <xf numFmtId="0" fontId="4" fillId="10" borderId="4"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9" borderId="3" xfId="0" applyFont="1" applyFill="1" applyBorder="1" applyAlignment="1" applyProtection="1">
      <alignment horizontal="center" vertical="center"/>
    </xf>
    <xf numFmtId="0" fontId="4" fillId="9" borderId="4" xfId="0" applyFont="1" applyFill="1" applyBorder="1" applyAlignment="1" applyProtection="1">
      <alignment horizontal="center" vertical="center"/>
    </xf>
    <xf numFmtId="0" fontId="4" fillId="8" borderId="2" xfId="0" applyFont="1" applyFill="1" applyBorder="1" applyAlignment="1" applyProtection="1">
      <alignment horizontal="center" vertical="center"/>
    </xf>
    <xf numFmtId="0" fontId="4" fillId="8" borderId="3" xfId="0" applyFont="1" applyFill="1" applyBorder="1" applyAlignment="1" applyProtection="1">
      <alignment horizontal="center" vertical="center"/>
    </xf>
    <xf numFmtId="0" fontId="4" fillId="8" borderId="4" xfId="0" applyFont="1" applyFill="1" applyBorder="1" applyAlignment="1" applyProtection="1">
      <alignment horizontal="center" vertical="center"/>
    </xf>
    <xf numFmtId="0" fontId="14" fillId="19" borderId="6" xfId="5" applyFont="1" applyBorder="1" applyAlignment="1" applyProtection="1">
      <alignment horizontal="left" vertical="center" wrapText="1"/>
    </xf>
    <xf numFmtId="0" fontId="14" fillId="19" borderId="7" xfId="5" applyFont="1" applyBorder="1" applyAlignment="1" applyProtection="1">
      <alignment horizontal="left" vertical="center" wrapText="1"/>
    </xf>
    <xf numFmtId="0" fontId="14" fillId="19" borderId="0" xfId="5" applyFont="1" applyBorder="1" applyAlignment="1" applyProtection="1">
      <alignment horizontal="left" vertical="center" wrapText="1"/>
    </xf>
    <xf numFmtId="0" fontId="14" fillId="19" borderId="9" xfId="5" applyFont="1" applyBorder="1" applyAlignment="1" applyProtection="1">
      <alignment horizontal="left" vertical="center" wrapText="1"/>
    </xf>
    <xf numFmtId="0" fontId="14" fillId="19" borderId="10" xfId="5" applyFont="1" applyBorder="1" applyAlignment="1" applyProtection="1">
      <alignment horizontal="left" vertical="center" wrapText="1"/>
    </xf>
    <xf numFmtId="0" fontId="14" fillId="19" borderId="11" xfId="5" applyFont="1" applyBorder="1" applyAlignment="1" applyProtection="1">
      <alignment horizontal="left" vertical="center" wrapText="1"/>
    </xf>
    <xf numFmtId="0" fontId="14" fillId="19" borderId="12" xfId="5" applyFont="1" applyBorder="1" applyAlignment="1" applyProtection="1">
      <alignment horizontal="left" vertical="center" wrapText="1"/>
    </xf>
    <xf numFmtId="0" fontId="2" fillId="21" borderId="38" xfId="0" applyFont="1" applyFill="1" applyBorder="1" applyAlignment="1" applyProtection="1">
      <alignment horizontal="center" vertical="center"/>
    </xf>
    <xf numFmtId="0" fontId="2" fillId="21" borderId="39" xfId="0" applyFont="1" applyFill="1" applyBorder="1" applyAlignment="1" applyProtection="1">
      <alignment horizontal="center" vertical="center"/>
    </xf>
    <xf numFmtId="0" fontId="2" fillId="21" borderId="40" xfId="0" applyFont="1" applyFill="1" applyBorder="1" applyAlignment="1" applyProtection="1">
      <alignment horizontal="center" vertical="center"/>
    </xf>
    <xf numFmtId="22" fontId="0" fillId="0" borderId="2" xfId="0" applyNumberFormat="1"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4" xfId="0" applyFill="1" applyBorder="1" applyAlignment="1" applyProtection="1">
      <alignment horizontal="center" vertical="center"/>
    </xf>
    <xf numFmtId="0" fontId="2" fillId="5" borderId="89" xfId="0" applyFont="1" applyFill="1" applyBorder="1" applyAlignment="1" applyProtection="1">
      <alignment horizontal="left" vertical="center"/>
    </xf>
    <xf numFmtId="0" fontId="2" fillId="5" borderId="36" xfId="0" applyFont="1" applyFill="1" applyBorder="1" applyAlignment="1" applyProtection="1">
      <alignment horizontal="left" vertical="center"/>
    </xf>
    <xf numFmtId="0" fontId="2" fillId="21" borderId="2" xfId="0" applyFont="1" applyFill="1" applyBorder="1" applyAlignment="1" applyProtection="1">
      <alignment horizontal="center" vertical="center"/>
    </xf>
    <xf numFmtId="49" fontId="0" fillId="13" borderId="45" xfId="0" applyNumberFormat="1" applyFill="1" applyBorder="1" applyAlignment="1" applyProtection="1">
      <alignment horizontal="left" vertical="center"/>
      <protection locked="0"/>
    </xf>
    <xf numFmtId="49" fontId="0" fillId="13" borderId="17" xfId="0" applyNumberFormat="1" applyFill="1" applyBorder="1" applyAlignment="1" applyProtection="1">
      <alignment horizontal="left" vertical="center"/>
      <protection locked="0"/>
    </xf>
    <xf numFmtId="0" fontId="2" fillId="21" borderId="5" xfId="0" applyFont="1" applyFill="1" applyBorder="1" applyAlignment="1" applyProtection="1">
      <alignment horizontal="center" vertical="center"/>
    </xf>
    <xf numFmtId="0" fontId="2" fillId="21" borderId="6" xfId="0" applyFont="1" applyFill="1" applyBorder="1" applyAlignment="1" applyProtection="1">
      <alignment horizontal="center" vertical="center"/>
    </xf>
    <xf numFmtId="0" fontId="2" fillId="21" borderId="7" xfId="0" applyFont="1" applyFill="1" applyBorder="1" applyAlignment="1" applyProtection="1">
      <alignment horizontal="center" vertical="center"/>
    </xf>
    <xf numFmtId="49" fontId="0" fillId="13" borderId="14" xfId="0" applyNumberFormat="1" applyFill="1" applyBorder="1" applyAlignment="1" applyProtection="1">
      <alignment horizontal="left" vertical="center"/>
      <protection locked="0"/>
    </xf>
    <xf numFmtId="49" fontId="0" fillId="13" borderId="19" xfId="0" applyNumberFormat="1" applyFill="1" applyBorder="1" applyAlignment="1" applyProtection="1">
      <alignment horizontal="left" vertical="center"/>
      <protection locked="0"/>
    </xf>
    <xf numFmtId="0" fontId="2" fillId="21" borderId="38" xfId="0" applyFont="1" applyFill="1" applyBorder="1" applyAlignment="1" applyProtection="1">
      <alignment horizontal="center"/>
    </xf>
    <xf numFmtId="0" fontId="2" fillId="21" borderId="39" xfId="0" applyFont="1" applyFill="1" applyBorder="1" applyAlignment="1" applyProtection="1">
      <alignment horizontal="center"/>
    </xf>
    <xf numFmtId="0" fontId="2" fillId="21" borderId="40" xfId="0" applyFont="1" applyFill="1" applyBorder="1" applyAlignment="1" applyProtection="1">
      <alignment horizontal="center"/>
    </xf>
    <xf numFmtId="49" fontId="0" fillId="13" borderId="28" xfId="0" applyNumberFormat="1" applyFill="1" applyBorder="1" applyAlignment="1" applyProtection="1">
      <alignment horizontal="left" vertical="center"/>
      <protection locked="0"/>
    </xf>
    <xf numFmtId="49" fontId="0" fillId="13" borderId="22" xfId="0" applyNumberFormat="1" applyFill="1" applyBorder="1" applyAlignment="1" applyProtection="1">
      <alignment horizontal="left" vertical="center"/>
      <protection locked="0"/>
    </xf>
    <xf numFmtId="0" fontId="2" fillId="21" borderId="116" xfId="0" applyFont="1" applyFill="1" applyBorder="1" applyAlignment="1" applyProtection="1">
      <alignment horizontal="center" vertical="center"/>
    </xf>
    <xf numFmtId="0" fontId="2" fillId="21" borderId="94" xfId="0" applyFont="1" applyFill="1" applyBorder="1" applyAlignment="1" applyProtection="1">
      <alignment horizontal="center" vertical="center"/>
    </xf>
    <xf numFmtId="49" fontId="0" fillId="13" borderId="18" xfId="0" applyNumberFormat="1" applyFill="1" applyBorder="1" applyAlignment="1" applyProtection="1">
      <alignment horizontal="left" vertical="center"/>
      <protection locked="0"/>
    </xf>
    <xf numFmtId="49" fontId="0" fillId="13" borderId="15" xfId="0" applyNumberFormat="1" applyFill="1" applyBorder="1" applyAlignment="1" applyProtection="1">
      <alignment horizontal="left" vertical="center"/>
      <protection locked="0"/>
    </xf>
    <xf numFmtId="49" fontId="0" fillId="13" borderId="20" xfId="0" applyNumberFormat="1" applyFill="1" applyBorder="1" applyAlignment="1" applyProtection="1">
      <alignment horizontal="left" vertical="center"/>
      <protection locked="0"/>
    </xf>
    <xf numFmtId="0" fontId="2" fillId="21" borderId="115" xfId="0" applyFont="1" applyFill="1" applyBorder="1" applyAlignment="1" applyProtection="1">
      <alignment horizontal="center" vertical="center"/>
    </xf>
    <xf numFmtId="0" fontId="19" fillId="4" borderId="31" xfId="0" applyFont="1" applyFill="1" applyBorder="1" applyAlignment="1" applyProtection="1">
      <alignment horizontal="left" vertical="center" wrapText="1"/>
    </xf>
    <xf numFmtId="0" fontId="19" fillId="4" borderId="24" xfId="0" applyFont="1" applyFill="1" applyBorder="1" applyAlignment="1" applyProtection="1">
      <alignment horizontal="left" vertical="center" wrapText="1"/>
    </xf>
    <xf numFmtId="0" fontId="19" fillId="4" borderId="32" xfId="0" applyFont="1" applyFill="1" applyBorder="1" applyAlignment="1" applyProtection="1">
      <alignment horizontal="left" vertical="center" wrapText="1"/>
    </xf>
    <xf numFmtId="0" fontId="19" fillId="4" borderId="18" xfId="0" applyFont="1" applyFill="1" applyBorder="1" applyAlignment="1" applyProtection="1">
      <alignment horizontal="left" vertical="center" wrapText="1"/>
    </xf>
    <xf numFmtId="0" fontId="19" fillId="4" borderId="13" xfId="0" applyFont="1" applyFill="1" applyBorder="1" applyAlignment="1" applyProtection="1">
      <alignment horizontal="left" vertical="center" wrapText="1"/>
    </xf>
    <xf numFmtId="0" fontId="19" fillId="4" borderId="19" xfId="0" applyFont="1" applyFill="1" applyBorder="1" applyAlignment="1" applyProtection="1">
      <alignment horizontal="left" vertical="center" wrapText="1"/>
    </xf>
    <xf numFmtId="0" fontId="19" fillId="4" borderId="20" xfId="0" applyFont="1" applyFill="1" applyBorder="1" applyAlignment="1" applyProtection="1">
      <alignment horizontal="left" vertical="center" wrapText="1"/>
    </xf>
    <xf numFmtId="0" fontId="19" fillId="4" borderId="21" xfId="0" applyFont="1" applyFill="1" applyBorder="1" applyAlignment="1" applyProtection="1">
      <alignment horizontal="left" vertical="center" wrapText="1"/>
    </xf>
    <xf numFmtId="0" fontId="19" fillId="4" borderId="22" xfId="0" applyFont="1" applyFill="1" applyBorder="1" applyAlignment="1" applyProtection="1">
      <alignment horizontal="left" vertical="center" wrapText="1"/>
    </xf>
    <xf numFmtId="49" fontId="0" fillId="24" borderId="5" xfId="0" applyNumberFormat="1" applyFill="1" applyBorder="1" applyAlignment="1" applyProtection="1">
      <alignment horizontal="left" vertical="top" wrapText="1"/>
      <protection locked="0"/>
    </xf>
    <xf numFmtId="49" fontId="0" fillId="24" borderId="6" xfId="0" applyNumberFormat="1" applyFill="1" applyBorder="1" applyAlignment="1" applyProtection="1">
      <alignment horizontal="left" vertical="top" wrapText="1"/>
      <protection locked="0"/>
    </xf>
    <xf numFmtId="49" fontId="0" fillId="24" borderId="7" xfId="0" applyNumberFormat="1" applyFill="1" applyBorder="1" applyAlignment="1" applyProtection="1">
      <alignment horizontal="left" vertical="top" wrapText="1"/>
      <protection locked="0"/>
    </xf>
    <xf numFmtId="49" fontId="0" fillId="24" borderId="8" xfId="0" applyNumberFormat="1" applyFill="1" applyBorder="1" applyAlignment="1" applyProtection="1">
      <alignment horizontal="left" vertical="top" wrapText="1"/>
      <protection locked="0"/>
    </xf>
    <xf numFmtId="49" fontId="0" fillId="24" borderId="0" xfId="0" applyNumberFormat="1" applyFill="1" applyBorder="1" applyAlignment="1" applyProtection="1">
      <alignment horizontal="left" vertical="top" wrapText="1"/>
      <protection locked="0"/>
    </xf>
    <xf numFmtId="49" fontId="0" fillId="24" borderId="9" xfId="0" applyNumberFormat="1" applyFill="1" applyBorder="1" applyAlignment="1" applyProtection="1">
      <alignment horizontal="left" vertical="top" wrapText="1"/>
      <protection locked="0"/>
    </xf>
    <xf numFmtId="49" fontId="0" fillId="24" borderId="10" xfId="0" applyNumberFormat="1" applyFill="1" applyBorder="1" applyAlignment="1" applyProtection="1">
      <alignment horizontal="left" vertical="top" wrapText="1"/>
      <protection locked="0"/>
    </xf>
    <xf numFmtId="49" fontId="0" fillId="24" borderId="11" xfId="0" applyNumberFormat="1" applyFill="1" applyBorder="1" applyAlignment="1" applyProtection="1">
      <alignment horizontal="left" vertical="top" wrapText="1"/>
      <protection locked="0"/>
    </xf>
    <xf numFmtId="49" fontId="0" fillId="24" borderId="12" xfId="0" applyNumberFormat="1" applyFill="1" applyBorder="1" applyAlignment="1" applyProtection="1">
      <alignment horizontal="left" vertical="top" wrapText="1"/>
      <protection locked="0"/>
    </xf>
    <xf numFmtId="0" fontId="21" fillId="24" borderId="5" xfId="0" applyFont="1" applyFill="1" applyBorder="1" applyAlignment="1" applyProtection="1">
      <alignment horizontal="center" vertical="center"/>
    </xf>
    <xf numFmtId="0" fontId="21" fillId="24" borderId="6" xfId="0" applyFont="1" applyFill="1" applyBorder="1" applyAlignment="1" applyProtection="1">
      <alignment horizontal="center" vertical="center"/>
    </xf>
    <xf numFmtId="0" fontId="21" fillId="24" borderId="7" xfId="0" applyFont="1" applyFill="1" applyBorder="1" applyAlignment="1" applyProtection="1">
      <alignment horizontal="center" vertical="center"/>
    </xf>
    <xf numFmtId="0" fontId="19" fillId="5" borderId="38" xfId="0" applyFont="1" applyFill="1" applyBorder="1" applyAlignment="1" applyProtection="1">
      <alignment horizontal="center"/>
    </xf>
    <xf numFmtId="0" fontId="19" fillId="5" borderId="39" xfId="0" applyFont="1" applyFill="1" applyBorder="1" applyAlignment="1" applyProtection="1">
      <alignment horizontal="center"/>
    </xf>
    <xf numFmtId="0" fontId="19" fillId="5" borderId="40" xfId="0" applyFont="1" applyFill="1" applyBorder="1" applyAlignment="1" applyProtection="1">
      <alignment horizontal="center"/>
    </xf>
  </cellXfs>
  <cellStyles count="7">
    <cellStyle name="Hyperlink" xfId="6" builtinId="8"/>
    <cellStyle name="Normal" xfId="0" builtinId="0"/>
    <cellStyle name="Normal 2 2" xfId="1"/>
    <cellStyle name="Normal 4 2" xfId="2"/>
    <cellStyle name="Normal 5 2 2 2 2 2" xfId="3"/>
    <cellStyle name="Note" xfId="5" builtinId="10"/>
    <cellStyle name="Percent" xfId="4" builtinId="5"/>
  </cellStyles>
  <dxfs count="75">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left style="medium">
          <color indexed="64"/>
        </left>
        <right style="medium">
          <color indexed="64"/>
        </right>
        <top style="medium">
          <color indexed="64"/>
        </top>
        <bottom style="medium">
          <color indexed="64"/>
        </bottom>
      </border>
    </dxf>
    <dxf>
      <numFmt numFmtId="30" formatCode="@"/>
      <fill>
        <patternFill patternType="solid">
          <fgColor indexed="64"/>
          <bgColor theme="4" tint="0.5999938962981048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style="medium">
          <color indexed="64"/>
        </left>
        <right style="medium">
          <color indexed="64"/>
        </right>
        <top/>
        <bottom/>
      </border>
      <protection locked="1" hidden="0"/>
    </dxf>
    <dxf>
      <fill>
        <patternFill>
          <bgColor rgb="FFFF0000"/>
        </patternFill>
      </fill>
    </dxf>
    <dxf>
      <fill>
        <patternFill>
          <bgColor rgb="FF33CC33"/>
        </patternFill>
      </fill>
    </dxf>
    <dxf>
      <font>
        <color rgb="FF0000FF"/>
      </font>
    </dxf>
    <dxf>
      <font>
        <color rgb="FFFF0000"/>
      </font>
    </dxf>
    <dxf>
      <font>
        <color rgb="FF00B050"/>
      </font>
    </dxf>
    <dxf>
      <font>
        <color rgb="FFFF0000"/>
      </font>
    </dxf>
    <dxf>
      <font>
        <color rgb="FF00B050"/>
      </font>
    </dxf>
    <dxf>
      <font>
        <color rgb="FF0000FF"/>
      </font>
    </dxf>
    <dxf>
      <font>
        <color rgb="FFFF0000"/>
      </font>
    </dxf>
    <dxf>
      <font>
        <color rgb="FF00B050"/>
      </font>
    </dxf>
    <dxf>
      <font>
        <color rgb="FF0000FF"/>
      </font>
    </dxf>
    <dxf>
      <font>
        <color theme="1"/>
      </font>
      <fill>
        <patternFill>
          <bgColor rgb="FFFFFF00"/>
        </patternFill>
      </fill>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tint="-0.14996795556505021"/>
      </font>
      <fill>
        <patternFill>
          <bgColor theme="0" tint="-0.14996795556505021"/>
        </patternFill>
      </fill>
      <border>
        <left/>
        <bottom/>
      </border>
    </dxf>
    <dxf>
      <fill>
        <patternFill patternType="none">
          <bgColor auto="1"/>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right/>
        <bottom/>
        <vertical/>
        <horizontal/>
      </border>
    </dxf>
    <dxf>
      <border>
        <top style="thin">
          <color auto="1"/>
        </top>
        <vertical/>
        <horizontal/>
      </border>
    </dxf>
    <dxf>
      <font>
        <color theme="1"/>
      </font>
      <fill>
        <patternFill>
          <bgColor rgb="FFFFFF00"/>
        </patternFill>
      </fill>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tint="-0.14996795556505021"/>
      </font>
      <fill>
        <patternFill>
          <bgColor theme="0" tint="-0.14996795556505021"/>
        </patternFill>
      </fill>
      <border>
        <left/>
        <bottom/>
        <vertical/>
        <horizontal/>
      </border>
    </dxf>
    <dxf>
      <fill>
        <patternFill patternType="none">
          <bgColor auto="1"/>
        </patternFill>
      </fill>
    </dxf>
    <dxf>
      <border>
        <top style="thin">
          <color auto="1"/>
        </top>
        <vertical/>
        <horizontal/>
      </border>
    </dxf>
    <dxf>
      <font>
        <color theme="0" tint="-0.14996795556505021"/>
      </font>
      <fill>
        <patternFill>
          <bgColor theme="0" tint="-0.14996795556505021"/>
        </patternFill>
      </fill>
      <border>
        <right/>
        <bottom/>
        <vertical/>
        <horizontal/>
      </border>
    </dxf>
    <dxf>
      <font>
        <color theme="0" tint="-0.14996795556505021"/>
      </font>
      <fill>
        <patternFill>
          <bgColor theme="0" tint="-0.14996795556505021"/>
        </patternFill>
      </fill>
      <border>
        <left/>
        <right/>
        <bottom/>
        <vertical/>
        <horizontal/>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font>
      <fill>
        <patternFill patternType="none">
          <bgColor auto="1"/>
        </patternFill>
      </fill>
      <border>
        <left/>
        <right/>
        <bottom/>
      </border>
    </dxf>
    <dxf>
      <font>
        <color theme="0"/>
      </font>
      <fill>
        <patternFill patternType="none">
          <bgColor auto="1"/>
        </patternFill>
      </fill>
      <border>
        <right/>
        <bottom/>
      </border>
    </dxf>
    <dxf>
      <border>
        <top style="thin">
          <color auto="1"/>
        </top>
        <vertical/>
        <horizontal/>
      </border>
    </dxf>
    <dxf>
      <font>
        <color theme="0"/>
      </font>
      <fill>
        <patternFill patternType="none">
          <bgColor auto="1"/>
        </patternFill>
      </fill>
      <border>
        <left/>
        <right/>
        <bottom/>
        <vertical/>
        <horizontal/>
      </border>
    </dxf>
    <dxf>
      <fill>
        <patternFill patternType="none">
          <bgColor auto="1"/>
        </patternFill>
      </fill>
    </dxf>
    <dxf>
      <font>
        <color theme="1"/>
      </font>
      <fill>
        <patternFill>
          <bgColor rgb="FFFFFF00"/>
        </patternFill>
      </fill>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tint="-0.14996795556505021"/>
      </font>
      <fill>
        <patternFill>
          <bgColor theme="0" tint="-0.14996795556505021"/>
        </patternFill>
      </fill>
      <border>
        <left/>
        <bottom/>
        <vertical/>
        <horizontal/>
      </border>
    </dxf>
    <dxf>
      <font>
        <color theme="0" tint="-0.14996795556505021"/>
      </font>
      <fill>
        <patternFill>
          <bgColor theme="0" tint="-0.14996795556505021"/>
        </patternFill>
      </fill>
      <border>
        <right/>
        <bottom/>
        <vertical/>
        <horizontal/>
      </border>
    </dxf>
    <dxf>
      <border>
        <top style="thin">
          <color auto="1"/>
        </top>
        <vertical/>
        <horizontal/>
      </border>
    </dxf>
    <dxf>
      <font>
        <color theme="0" tint="-0.14996795556505021"/>
      </font>
      <fill>
        <patternFill>
          <bgColor theme="0" tint="-0.14996795556505021"/>
        </patternFill>
      </fill>
      <border>
        <left/>
        <right/>
        <bottom/>
        <vertical/>
        <horizontal/>
      </border>
    </dxf>
    <dxf>
      <fill>
        <patternFill patternType="none">
          <bgColor auto="1"/>
        </patternFill>
      </fill>
    </dxf>
    <dxf>
      <fill>
        <patternFill>
          <bgColor rgb="FFFFFF00"/>
        </patternFill>
      </fill>
    </dxf>
    <dxf>
      <fill>
        <patternFill>
          <bgColor theme="1" tint="0.499984740745262"/>
        </patternFill>
      </fill>
    </dxf>
    <dxf>
      <font>
        <color theme="0"/>
      </font>
      <fill>
        <patternFill patternType="none">
          <bgColor auto="1"/>
        </patternFill>
      </fill>
    </dxf>
    <dxf>
      <font>
        <color theme="1"/>
      </font>
      <fill>
        <patternFill>
          <bgColor theme="1"/>
        </patternFill>
      </fill>
    </dxf>
  </dxfs>
  <tableStyles count="0" defaultTableStyle="TableStyleMedium2" defaultPivotStyle="PivotStyleLight16"/>
  <colors>
    <mruColors>
      <color rgb="FF0000FF"/>
      <color rgb="FF33CC33"/>
      <color rgb="FFFF5A5A"/>
      <color rgb="FFA86ED4"/>
      <color rgb="FF7030A0"/>
      <color rgb="FF6600CC"/>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a:extLst>
            <a:ext uri="{FF2B5EF4-FFF2-40B4-BE49-F238E27FC236}">
              <a16:creationId xmlns:a16="http://schemas.microsoft.com/office/drawing/2014/main" xmlns=""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a:extLst>
            <a:ext uri="{FF2B5EF4-FFF2-40B4-BE49-F238E27FC236}">
              <a16:creationId xmlns:a16="http://schemas.microsoft.com/office/drawing/2014/main" xmlns="" id="{00000000-0008-0000-00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twoCellAnchor editAs="oneCell">
    <xdr:from>
      <xdr:col>10</xdr:col>
      <xdr:colOff>47625</xdr:colOff>
      <xdr:row>1</xdr:row>
      <xdr:rowOff>19050</xdr:rowOff>
    </xdr:from>
    <xdr:to>
      <xdr:col>17</xdr:col>
      <xdr:colOff>391168</xdr:colOff>
      <xdr:row>2</xdr:row>
      <xdr:rowOff>152445</xdr:rowOff>
    </xdr:to>
    <xdr:pic>
      <xdr:nvPicPr>
        <xdr:cNvPr id="13" name="Picture 12">
          <a:extLst>
            <a:ext uri="{FF2B5EF4-FFF2-40B4-BE49-F238E27FC236}">
              <a16:creationId xmlns=""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4" name="Picture 13">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5" name="Picture 14">
          <a:extLst>
            <a:ext uri="{FF2B5EF4-FFF2-40B4-BE49-F238E27FC236}">
              <a16:creationId xmlns=""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6" name="Picture 15">
          <a:extLst>
            <a:ext uri="{FF2B5EF4-FFF2-40B4-BE49-F238E27FC236}">
              <a16:creationId xmlns="" xmlns:a16="http://schemas.microsoft.com/office/drawing/2014/main"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800100</xdr:colOff>
          <xdr:row>10</xdr:row>
          <xdr:rowOff>85725</xdr:rowOff>
        </xdr:from>
        <xdr:to>
          <xdr:col>15</xdr:col>
          <xdr:colOff>428625</xdr:colOff>
          <xdr:row>12</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129</xdr:row>
          <xdr:rowOff>171450</xdr:rowOff>
        </xdr:from>
        <xdr:to>
          <xdr:col>6</xdr:col>
          <xdr:colOff>600075</xdr:colOff>
          <xdr:row>132</xdr:row>
          <xdr:rowOff>19050</xdr:rowOff>
        </xdr:to>
        <xdr:sp macro="" textlink="">
          <xdr:nvSpPr>
            <xdr:cNvPr id="2050" name="Button 2" hidden="1">
              <a:extLst>
                <a:ext uri="{63B3BB69-23CF-44E3-9099-C40C66FF867C}">
                  <a14:compatExt spid="_x0000_s2050"/>
                </a:ext>
                <a:ext uri="{FF2B5EF4-FFF2-40B4-BE49-F238E27FC236}">
                  <a16:creationId xmlns:a16="http://schemas.microsoft.com/office/drawing/2014/main" xmlns=""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Company Duty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133</xdr:row>
          <xdr:rowOff>171450</xdr:rowOff>
        </xdr:from>
        <xdr:to>
          <xdr:col>6</xdr:col>
          <xdr:colOff>600075</xdr:colOff>
          <xdr:row>136</xdr:row>
          <xdr:rowOff>19050</xdr:rowOff>
        </xdr:to>
        <xdr:sp macro="" textlink="">
          <xdr:nvSpPr>
            <xdr:cNvPr id="2051" name="Button 3" hidden="1">
              <a:extLst>
                <a:ext uri="{63B3BB69-23CF-44E3-9099-C40C66FF867C}">
                  <a14:compatExt spid="_x0000_s2051"/>
                </a:ext>
                <a:ext uri="{FF2B5EF4-FFF2-40B4-BE49-F238E27FC236}">
                  <a16:creationId xmlns:a16="http://schemas.microsoft.com/office/drawing/2014/main" xmlns="" id="{00000000-0008-0000-06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Battalion Duty Roster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2</xdr:row>
          <xdr:rowOff>152400</xdr:rowOff>
        </xdr:from>
        <xdr:to>
          <xdr:col>12</xdr:col>
          <xdr:colOff>0</xdr:colOff>
          <xdr:row>5</xdr:row>
          <xdr:rowOff>0</xdr:rowOff>
        </xdr:to>
        <xdr:sp macro="" textlink="">
          <xdr:nvSpPr>
            <xdr:cNvPr id="3073" name="ChngPass"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20</xdr:row>
          <xdr:rowOff>76200</xdr:rowOff>
        </xdr:from>
        <xdr:to>
          <xdr:col>8</xdr:col>
          <xdr:colOff>742950</xdr:colOff>
          <xdr:row>22</xdr:row>
          <xdr:rowOff>123825</xdr:rowOff>
        </xdr:to>
        <xdr:sp macro="" textlink="">
          <xdr:nvSpPr>
            <xdr:cNvPr id="3074" name="ExtDevMd"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ables/table1.xml><?xml version="1.0" encoding="utf-8"?>
<table xmlns="http://schemas.openxmlformats.org/spreadsheetml/2006/main" id="3" name="RLT" displayName="RLT" comment="Rank List Table. Used for dynamic dependant drop down lists." ref="E2:J9" totalsRowShown="0" headerRowDxfId="8" dataDxfId="7" tableBorderDxfId="6">
  <autoFilter ref="E2:J9">
    <filterColumn colId="0" hiddenButton="1"/>
    <filterColumn colId="1" hiddenButton="1"/>
    <filterColumn colId="2" hiddenButton="1"/>
    <filterColumn colId="3" hiddenButton="1"/>
    <filterColumn colId="4" hiddenButton="1"/>
    <filterColumn colId="5" hiddenButton="1"/>
  </autoFilter>
  <tableColumns count="6">
    <tableColumn id="1" name="RankList01" dataDxfId="5"/>
    <tableColumn id="2" name="RankList02" dataDxfId="4"/>
    <tableColumn id="3" name="RankList03" dataDxfId="3"/>
    <tableColumn id="4" name="RankList04" dataDxfId="2"/>
    <tableColumn id="5" name="RankList05" dataDxfId="1"/>
    <tableColumn id="6" name="RankList0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table" Target="../tables/table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activeCell="J2" sqref="J2"/>
    </sheetView>
  </sheetViews>
  <sheetFormatPr defaultRowHeight="15" x14ac:dyDescent="0.25"/>
  <cols>
    <col min="1" max="9" width="9.140625" style="267"/>
    <col min="10" max="16384" width="9.140625" style="258"/>
  </cols>
  <sheetData>
    <row r="1" spans="1:21" ht="15" customHeight="1" x14ac:dyDescent="0.25">
      <c r="A1" s="322" t="s">
        <v>154</v>
      </c>
      <c r="B1" s="323"/>
      <c r="C1" s="323"/>
      <c r="D1" s="323"/>
      <c r="E1" s="323"/>
      <c r="F1" s="323"/>
      <c r="G1" s="323"/>
      <c r="H1" s="323"/>
      <c r="I1" s="324"/>
      <c r="K1" s="259" t="s">
        <v>82</v>
      </c>
      <c r="L1" s="260"/>
      <c r="M1" s="260"/>
      <c r="N1" s="260"/>
      <c r="O1" s="260"/>
      <c r="P1" s="260"/>
      <c r="Q1" s="260"/>
      <c r="R1" s="261"/>
    </row>
    <row r="2" spans="1:21" x14ac:dyDescent="0.25">
      <c r="A2" s="325"/>
      <c r="B2" s="326"/>
      <c r="C2" s="326"/>
      <c r="D2" s="326"/>
      <c r="E2" s="326"/>
      <c r="F2" s="326"/>
      <c r="G2" s="326"/>
      <c r="H2" s="326"/>
      <c r="I2" s="327"/>
      <c r="K2" s="262"/>
      <c r="R2" s="263"/>
    </row>
    <row r="3" spans="1:21" x14ac:dyDescent="0.25">
      <c r="A3" s="325"/>
      <c r="B3" s="326"/>
      <c r="C3" s="326"/>
      <c r="D3" s="326"/>
      <c r="E3" s="326"/>
      <c r="F3" s="326"/>
      <c r="G3" s="326"/>
      <c r="H3" s="326"/>
      <c r="I3" s="327"/>
      <c r="K3" s="262"/>
      <c r="R3" s="263"/>
    </row>
    <row r="4" spans="1:21" x14ac:dyDescent="0.25">
      <c r="A4" s="325"/>
      <c r="B4" s="326"/>
      <c r="C4" s="326"/>
      <c r="D4" s="326"/>
      <c r="E4" s="326"/>
      <c r="F4" s="326"/>
      <c r="G4" s="326"/>
      <c r="H4" s="326"/>
      <c r="I4" s="327"/>
      <c r="K4" s="259" t="s">
        <v>83</v>
      </c>
      <c r="L4" s="260"/>
      <c r="M4" s="260"/>
      <c r="N4" s="260"/>
      <c r="O4" s="260"/>
      <c r="P4" s="268"/>
      <c r="Q4" s="260"/>
      <c r="R4" s="260"/>
      <c r="S4" s="260"/>
      <c r="T4" s="260"/>
      <c r="U4" s="261"/>
    </row>
    <row r="5" spans="1:21" x14ac:dyDescent="0.25">
      <c r="A5" s="325"/>
      <c r="B5" s="326"/>
      <c r="C5" s="326"/>
      <c r="D5" s="326"/>
      <c r="E5" s="326"/>
      <c r="F5" s="326"/>
      <c r="G5" s="326"/>
      <c r="H5" s="326"/>
      <c r="I5" s="327"/>
      <c r="K5" s="262"/>
      <c r="U5" s="263"/>
    </row>
    <row r="6" spans="1:21" x14ac:dyDescent="0.25">
      <c r="A6" s="325"/>
      <c r="B6" s="326"/>
      <c r="C6" s="326"/>
      <c r="D6" s="326"/>
      <c r="E6" s="326"/>
      <c r="F6" s="326"/>
      <c r="G6" s="326"/>
      <c r="H6" s="326"/>
      <c r="I6" s="327"/>
      <c r="K6" s="262"/>
      <c r="U6" s="263"/>
    </row>
    <row r="7" spans="1:21" x14ac:dyDescent="0.25">
      <c r="A7" s="325"/>
      <c r="B7" s="326"/>
      <c r="C7" s="326"/>
      <c r="D7" s="326"/>
      <c r="E7" s="326"/>
      <c r="F7" s="326"/>
      <c r="G7" s="326"/>
      <c r="H7" s="326"/>
      <c r="I7" s="327"/>
      <c r="K7" s="264"/>
      <c r="L7" s="265"/>
      <c r="M7" s="265"/>
      <c r="N7" s="265"/>
      <c r="O7" s="265"/>
      <c r="P7" s="265"/>
      <c r="Q7" s="265"/>
      <c r="R7" s="265"/>
      <c r="S7" s="265"/>
      <c r="T7" s="265"/>
      <c r="U7" s="266"/>
    </row>
    <row r="8" spans="1:21" x14ac:dyDescent="0.25">
      <c r="A8" s="325"/>
      <c r="B8" s="326"/>
      <c r="C8" s="326"/>
      <c r="D8" s="326"/>
      <c r="E8" s="326"/>
      <c r="F8" s="326"/>
      <c r="G8" s="326"/>
      <c r="H8" s="326"/>
      <c r="I8" s="327"/>
      <c r="K8" s="259" t="s">
        <v>84</v>
      </c>
      <c r="L8" s="260"/>
      <c r="M8" s="260"/>
      <c r="N8" s="260"/>
      <c r="O8" s="261"/>
      <c r="P8" s="259" t="s">
        <v>85</v>
      </c>
      <c r="Q8" s="260"/>
      <c r="R8" s="260"/>
      <c r="S8" s="260"/>
      <c r="T8" s="260"/>
      <c r="U8" s="261"/>
    </row>
    <row r="9" spans="1:21" x14ac:dyDescent="0.25">
      <c r="A9" s="325"/>
      <c r="B9" s="326"/>
      <c r="C9" s="326"/>
      <c r="D9" s="326"/>
      <c r="E9" s="326"/>
      <c r="F9" s="326"/>
      <c r="G9" s="326"/>
      <c r="H9" s="326"/>
      <c r="I9" s="327"/>
      <c r="K9" s="262"/>
      <c r="O9" s="263"/>
      <c r="P9" s="262"/>
      <c r="U9" s="263"/>
    </row>
    <row r="10" spans="1:21" x14ac:dyDescent="0.25">
      <c r="A10" s="325"/>
      <c r="B10" s="326"/>
      <c r="C10" s="326"/>
      <c r="D10" s="326"/>
      <c r="E10" s="326"/>
      <c r="F10" s="326"/>
      <c r="G10" s="326"/>
      <c r="H10" s="326"/>
      <c r="I10" s="327"/>
      <c r="K10" s="262"/>
      <c r="O10" s="263"/>
      <c r="P10" s="262"/>
      <c r="U10" s="263"/>
    </row>
    <row r="11" spans="1:21" x14ac:dyDescent="0.25">
      <c r="A11" s="325"/>
      <c r="B11" s="326"/>
      <c r="C11" s="326"/>
      <c r="D11" s="326"/>
      <c r="E11" s="326"/>
      <c r="F11" s="326"/>
      <c r="G11" s="326"/>
      <c r="H11" s="326"/>
      <c r="I11" s="327"/>
      <c r="K11" s="262"/>
      <c r="O11" s="263"/>
      <c r="P11" s="262"/>
      <c r="U11" s="263"/>
    </row>
    <row r="12" spans="1:21" x14ac:dyDescent="0.25">
      <c r="A12" s="325"/>
      <c r="B12" s="326"/>
      <c r="C12" s="326"/>
      <c r="D12" s="326"/>
      <c r="E12" s="326"/>
      <c r="F12" s="326"/>
      <c r="G12" s="326"/>
      <c r="H12" s="326"/>
      <c r="I12" s="327"/>
      <c r="K12" s="262"/>
      <c r="O12" s="263"/>
      <c r="P12" s="262"/>
      <c r="U12" s="263"/>
    </row>
    <row r="13" spans="1:21" x14ac:dyDescent="0.25">
      <c r="A13" s="325"/>
      <c r="B13" s="326"/>
      <c r="C13" s="326"/>
      <c r="D13" s="326"/>
      <c r="E13" s="326"/>
      <c r="F13" s="326"/>
      <c r="G13" s="326"/>
      <c r="H13" s="326"/>
      <c r="I13" s="327"/>
      <c r="K13" s="262"/>
      <c r="O13" s="263"/>
      <c r="P13" s="262"/>
      <c r="U13" s="263"/>
    </row>
    <row r="14" spans="1:21" x14ac:dyDescent="0.25">
      <c r="A14" s="325"/>
      <c r="B14" s="326"/>
      <c r="C14" s="326"/>
      <c r="D14" s="326"/>
      <c r="E14" s="326"/>
      <c r="F14" s="326"/>
      <c r="G14" s="326"/>
      <c r="H14" s="326"/>
      <c r="I14" s="327"/>
      <c r="K14" s="262"/>
      <c r="O14" s="263"/>
      <c r="P14" s="262"/>
      <c r="U14" s="263"/>
    </row>
    <row r="15" spans="1:21" x14ac:dyDescent="0.25">
      <c r="A15" s="325"/>
      <c r="B15" s="326"/>
      <c r="C15" s="326"/>
      <c r="D15" s="326"/>
      <c r="E15" s="326"/>
      <c r="F15" s="326"/>
      <c r="G15" s="326"/>
      <c r="H15" s="326"/>
      <c r="I15" s="327"/>
      <c r="K15" s="262"/>
      <c r="O15" s="263"/>
      <c r="P15" s="262"/>
      <c r="U15" s="263"/>
    </row>
    <row r="16" spans="1:21" x14ac:dyDescent="0.25">
      <c r="A16" s="325"/>
      <c r="B16" s="326"/>
      <c r="C16" s="326"/>
      <c r="D16" s="326"/>
      <c r="E16" s="326"/>
      <c r="F16" s="326"/>
      <c r="G16" s="326"/>
      <c r="H16" s="326"/>
      <c r="I16" s="327"/>
      <c r="K16" s="262"/>
      <c r="O16" s="263"/>
      <c r="P16" s="262"/>
      <c r="U16" s="263"/>
    </row>
    <row r="17" spans="1:21" x14ac:dyDescent="0.25">
      <c r="A17" s="325"/>
      <c r="B17" s="326"/>
      <c r="C17" s="326"/>
      <c r="D17" s="326"/>
      <c r="E17" s="326"/>
      <c r="F17" s="326"/>
      <c r="G17" s="326"/>
      <c r="H17" s="326"/>
      <c r="I17" s="327"/>
      <c r="K17" s="262"/>
      <c r="O17" s="263"/>
      <c r="P17" s="264"/>
      <c r="Q17" s="265"/>
      <c r="R17" s="265"/>
      <c r="S17" s="265"/>
      <c r="T17" s="265"/>
      <c r="U17" s="266"/>
    </row>
    <row r="18" spans="1:21" x14ac:dyDescent="0.25">
      <c r="A18" s="325"/>
      <c r="B18" s="326"/>
      <c r="C18" s="326"/>
      <c r="D18" s="326"/>
      <c r="E18" s="326"/>
      <c r="F18" s="326"/>
      <c r="G18" s="326"/>
      <c r="H18" s="326"/>
      <c r="I18" s="327"/>
      <c r="K18" s="262"/>
      <c r="O18" s="263"/>
    </row>
    <row r="19" spans="1:21" x14ac:dyDescent="0.25">
      <c r="A19" s="325"/>
      <c r="B19" s="326"/>
      <c r="C19" s="326"/>
      <c r="D19" s="326"/>
      <c r="E19" s="326"/>
      <c r="F19" s="326"/>
      <c r="G19" s="326"/>
      <c r="H19" s="326"/>
      <c r="I19" s="327"/>
      <c r="K19" s="262"/>
      <c r="O19" s="263"/>
    </row>
    <row r="20" spans="1:21" x14ac:dyDescent="0.25">
      <c r="A20" s="325"/>
      <c r="B20" s="326"/>
      <c r="C20" s="326"/>
      <c r="D20" s="326"/>
      <c r="E20" s="326"/>
      <c r="F20" s="326"/>
      <c r="G20" s="326"/>
      <c r="H20" s="326"/>
      <c r="I20" s="327"/>
      <c r="K20" s="262"/>
      <c r="O20" s="263"/>
    </row>
    <row r="21" spans="1:21" x14ac:dyDescent="0.25">
      <c r="A21" s="325"/>
      <c r="B21" s="326"/>
      <c r="C21" s="326"/>
      <c r="D21" s="326"/>
      <c r="E21" s="326"/>
      <c r="F21" s="326"/>
      <c r="G21" s="326"/>
      <c r="H21" s="326"/>
      <c r="I21" s="327"/>
      <c r="K21" s="262"/>
      <c r="O21" s="263"/>
    </row>
    <row r="22" spans="1:21" x14ac:dyDescent="0.25">
      <c r="A22" s="325"/>
      <c r="B22" s="326"/>
      <c r="C22" s="326"/>
      <c r="D22" s="326"/>
      <c r="E22" s="326"/>
      <c r="F22" s="326"/>
      <c r="G22" s="326"/>
      <c r="H22" s="326"/>
      <c r="I22" s="327"/>
      <c r="K22" s="262"/>
      <c r="O22" s="263"/>
    </row>
    <row r="23" spans="1:21" x14ac:dyDescent="0.25">
      <c r="A23" s="325"/>
      <c r="B23" s="326"/>
      <c r="C23" s="326"/>
      <c r="D23" s="326"/>
      <c r="E23" s="326"/>
      <c r="F23" s="326"/>
      <c r="G23" s="326"/>
      <c r="H23" s="326"/>
      <c r="I23" s="327"/>
      <c r="K23" s="262"/>
      <c r="O23" s="263"/>
    </row>
    <row r="24" spans="1:21" x14ac:dyDescent="0.25">
      <c r="A24" s="325"/>
      <c r="B24" s="326"/>
      <c r="C24" s="326"/>
      <c r="D24" s="326"/>
      <c r="E24" s="326"/>
      <c r="F24" s="326"/>
      <c r="G24" s="326"/>
      <c r="H24" s="326"/>
      <c r="I24" s="327"/>
      <c r="K24" s="262"/>
      <c r="O24" s="263"/>
    </row>
    <row r="25" spans="1:21" x14ac:dyDescent="0.25">
      <c r="A25" s="325"/>
      <c r="B25" s="326"/>
      <c r="C25" s="326"/>
      <c r="D25" s="326"/>
      <c r="E25" s="326"/>
      <c r="F25" s="326"/>
      <c r="G25" s="326"/>
      <c r="H25" s="326"/>
      <c r="I25" s="327"/>
      <c r="K25" s="262"/>
      <c r="O25" s="263"/>
    </row>
    <row r="26" spans="1:21" x14ac:dyDescent="0.25">
      <c r="A26" s="325"/>
      <c r="B26" s="326"/>
      <c r="C26" s="326"/>
      <c r="D26" s="326"/>
      <c r="E26" s="326"/>
      <c r="F26" s="326"/>
      <c r="G26" s="326"/>
      <c r="H26" s="326"/>
      <c r="I26" s="327"/>
      <c r="K26" s="262"/>
      <c r="O26" s="263"/>
    </row>
    <row r="27" spans="1:21" x14ac:dyDescent="0.25">
      <c r="A27" s="325"/>
      <c r="B27" s="326"/>
      <c r="C27" s="326"/>
      <c r="D27" s="326"/>
      <c r="E27" s="326"/>
      <c r="F27" s="326"/>
      <c r="G27" s="326"/>
      <c r="H27" s="326"/>
      <c r="I27" s="327"/>
      <c r="K27" s="262"/>
      <c r="O27" s="263"/>
    </row>
    <row r="28" spans="1:21" x14ac:dyDescent="0.25">
      <c r="A28" s="325"/>
      <c r="B28" s="326"/>
      <c r="C28" s="326"/>
      <c r="D28" s="326"/>
      <c r="E28" s="326"/>
      <c r="F28" s="326"/>
      <c r="G28" s="326"/>
      <c r="H28" s="326"/>
      <c r="I28" s="327"/>
      <c r="K28" s="262"/>
      <c r="O28" s="263"/>
    </row>
    <row r="29" spans="1:21" x14ac:dyDescent="0.25">
      <c r="A29" s="325"/>
      <c r="B29" s="326"/>
      <c r="C29" s="326"/>
      <c r="D29" s="326"/>
      <c r="E29" s="326"/>
      <c r="F29" s="326"/>
      <c r="G29" s="326"/>
      <c r="H29" s="326"/>
      <c r="I29" s="327"/>
      <c r="K29" s="264"/>
      <c r="L29" s="265"/>
      <c r="M29" s="265"/>
      <c r="N29" s="265"/>
      <c r="O29" s="266"/>
    </row>
    <row r="30" spans="1:21" ht="15.75" thickBot="1" x14ac:dyDescent="0.3">
      <c r="A30" s="328"/>
      <c r="B30" s="329"/>
      <c r="C30" s="329"/>
      <c r="D30" s="329"/>
      <c r="E30" s="329"/>
      <c r="F30" s="329"/>
      <c r="G30" s="329"/>
      <c r="H30" s="329"/>
      <c r="I30" s="330"/>
    </row>
    <row r="31" spans="1:21" ht="15.75" thickBot="1" x14ac:dyDescent="0.3"/>
    <row r="32" spans="1:21" x14ac:dyDescent="0.25">
      <c r="C32" s="331" t="s">
        <v>155</v>
      </c>
      <c r="D32" s="332"/>
      <c r="E32" s="332"/>
      <c r="F32" s="333"/>
    </row>
    <row r="33" spans="3:6" ht="15.75" thickBot="1" x14ac:dyDescent="0.3">
      <c r="C33" s="334"/>
      <c r="D33" s="335"/>
      <c r="E33" s="335"/>
      <c r="F33" s="336"/>
    </row>
    <row r="34" spans="3:6" ht="15.75" thickBot="1" x14ac:dyDescent="0.3">
      <c r="C34" s="304" t="s">
        <v>156</v>
      </c>
      <c r="D34" s="337" t="s">
        <v>157</v>
      </c>
      <c r="E34" s="338"/>
      <c r="F34" s="339"/>
    </row>
    <row r="35" spans="3:6" ht="15.75" thickBot="1" x14ac:dyDescent="0.3">
      <c r="C35" s="304" t="s">
        <v>158</v>
      </c>
      <c r="D35" s="340" t="s">
        <v>159</v>
      </c>
      <c r="E35" s="341"/>
      <c r="F35" s="342"/>
    </row>
  </sheetData>
  <sheetProtection algorithmName="SHA-512" hashValue="7fT5I6Z1e8jLtqcjEartsF1qkh7kn9XWDLL82wo2IaYVUf6qn8zzNnI61sIxGeJGm+w4RrHKFKkRncF8caZBYA==" saltValue="6/UcXXlBhcpwEZFmrwMR5w==" spinCount="100000" sheet="1" objects="1" scenarios="1" selectLockedCells="1" sort="0" autoFilter="0" selectUnlockedCells="1"/>
  <mergeCells count="4">
    <mergeCell ref="A1:I30"/>
    <mergeCell ref="C32:F33"/>
    <mergeCell ref="D34:F34"/>
    <mergeCell ref="D35:F35"/>
  </mergeCells>
  <hyperlinks>
    <hyperlink ref="D34" r:id="rId1"/>
    <hyperlink ref="D35"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87"/>
  <sheetViews>
    <sheetView zoomScale="70" zoomScaleNormal="70" workbookViewId="0">
      <selection activeCell="B5" sqref="B5"/>
    </sheetView>
  </sheetViews>
  <sheetFormatPr defaultRowHeight="15" x14ac:dyDescent="0.25"/>
  <cols>
    <col min="1" max="1" width="21" bestFit="1" customWidth="1"/>
    <col min="2" max="2" width="9.28515625" customWidth="1"/>
    <col min="3" max="3" width="27.140625" customWidth="1"/>
    <col min="4" max="4" width="7.7109375" customWidth="1"/>
    <col min="6" max="6" width="27.140625" customWidth="1"/>
    <col min="7" max="7" width="7.7109375" customWidth="1"/>
    <col min="9" max="9" width="27.140625" customWidth="1"/>
    <col min="10" max="10" width="7.7109375" customWidth="1"/>
    <col min="12" max="12" width="27.140625" customWidth="1"/>
    <col min="13" max="13" width="7.7109375" customWidth="1"/>
    <col min="15" max="15" width="27.140625" customWidth="1"/>
    <col min="16" max="16" width="7.7109375" customWidth="1"/>
    <col min="18" max="18" width="27.140625" customWidth="1"/>
    <col min="19" max="19" width="7.7109375" customWidth="1"/>
    <col min="21" max="21" width="27.140625" customWidth="1"/>
    <col min="22" max="22" width="7.7109375" customWidth="1"/>
  </cols>
  <sheetData>
    <row r="1" spans="1:24" ht="34.5" customHeight="1" x14ac:dyDescent="0.4">
      <c r="A1" s="348" t="str">
        <f>DevMode!B2</f>
        <v>8th Communication Battalion Duty Roster</v>
      </c>
      <c r="B1" s="348"/>
      <c r="C1" s="348"/>
      <c r="D1" s="348"/>
      <c r="E1" s="348"/>
      <c r="F1" s="348"/>
      <c r="G1" s="348"/>
      <c r="H1" s="348"/>
      <c r="I1" s="348"/>
      <c r="J1" s="348"/>
      <c r="K1" s="348"/>
      <c r="L1" s="348"/>
      <c r="M1" s="348"/>
      <c r="N1" s="348"/>
      <c r="O1" s="348"/>
      <c r="P1" s="348"/>
      <c r="Q1" s="348"/>
      <c r="R1" s="348"/>
      <c r="S1" s="348"/>
      <c r="T1" s="348"/>
      <c r="U1" s="348"/>
      <c r="V1" s="348"/>
    </row>
    <row r="2" spans="1:24" ht="34.5" customHeight="1" thickBot="1" x14ac:dyDescent="0.45">
      <c r="A2" s="1"/>
      <c r="B2" s="346"/>
      <c r="C2" s="346"/>
      <c r="D2" s="347"/>
      <c r="E2" s="347"/>
      <c r="F2" s="350" t="e">
        <f>Start</f>
        <v>#VALUE!</v>
      </c>
      <c r="G2" s="350"/>
      <c r="H2" s="350"/>
      <c r="I2" s="350"/>
      <c r="J2" s="350"/>
      <c r="K2" s="350"/>
      <c r="L2" s="349" t="e">
        <f>VALUE(B2&amp;" "&amp;"1, "&amp;D2)</f>
        <v>#VALUE!</v>
      </c>
      <c r="M2" s="349"/>
      <c r="N2" s="349"/>
      <c r="O2" s="349"/>
      <c r="P2" s="349"/>
      <c r="Q2" s="349"/>
      <c r="R2" s="349" t="e">
        <f>EOMONTH(L2,0)</f>
        <v>#VALUE!</v>
      </c>
      <c r="S2" s="349"/>
      <c r="T2" s="349"/>
      <c r="U2" s="349"/>
      <c r="V2" s="349"/>
    </row>
    <row r="3" spans="1:24" ht="15.95" customHeight="1" thickBot="1" x14ac:dyDescent="0.3">
      <c r="A3" s="1"/>
      <c r="B3" s="343" t="s">
        <v>0</v>
      </c>
      <c r="C3" s="344"/>
      <c r="D3" s="345"/>
      <c r="E3" s="343" t="s">
        <v>1</v>
      </c>
      <c r="F3" s="344"/>
      <c r="G3" s="345"/>
      <c r="H3" s="343" t="s">
        <v>2</v>
      </c>
      <c r="I3" s="344"/>
      <c r="J3" s="345"/>
      <c r="K3" s="343" t="s">
        <v>3</v>
      </c>
      <c r="L3" s="344"/>
      <c r="M3" s="345"/>
      <c r="N3" s="343" t="s">
        <v>4</v>
      </c>
      <c r="O3" s="344"/>
      <c r="P3" s="345"/>
      <c r="Q3" s="343" t="s">
        <v>5</v>
      </c>
      <c r="R3" s="344"/>
      <c r="S3" s="345"/>
      <c r="T3" s="343" t="s">
        <v>6</v>
      </c>
      <c r="U3" s="344"/>
      <c r="V3" s="345"/>
    </row>
    <row r="4" spans="1:24" ht="15.95" customHeight="1" thickBot="1" x14ac:dyDescent="0.3">
      <c r="A4" s="1"/>
      <c r="B4" s="2" t="str">
        <f>IFERROR(F2-CHOOSE(WEEKDAY(Start),0,1,2,3,4,5,6),"")</f>
        <v/>
      </c>
      <c r="C4" s="351"/>
      <c r="D4" s="352"/>
      <c r="E4" s="2" t="str">
        <f>IFERROR(B4+1,"")</f>
        <v/>
      </c>
      <c r="F4" s="351"/>
      <c r="G4" s="352"/>
      <c r="H4" s="2" t="str">
        <f>IFERROR(E4+1,"")</f>
        <v/>
      </c>
      <c r="I4" s="351"/>
      <c r="J4" s="352"/>
      <c r="K4" s="2" t="str">
        <f>IFERROR(H4+1,"")</f>
        <v/>
      </c>
      <c r="L4" s="351"/>
      <c r="M4" s="352"/>
      <c r="N4" s="2" t="str">
        <f>IFERROR(K4+1,"")</f>
        <v/>
      </c>
      <c r="O4" s="351"/>
      <c r="P4" s="352"/>
      <c r="Q4" s="2" t="str">
        <f>IFERROR(N4+1,"")</f>
        <v/>
      </c>
      <c r="R4" s="351"/>
      <c r="S4" s="352"/>
      <c r="T4" s="2" t="str">
        <f>IFERROR(Q4+1,"")</f>
        <v/>
      </c>
      <c r="U4" s="351"/>
      <c r="V4" s="352"/>
      <c r="X4" s="214"/>
    </row>
    <row r="5" spans="1:24" ht="15.95" customHeight="1" x14ac:dyDescent="0.25">
      <c r="A5" s="31" t="str">
        <f>IF(DevMode!B3="","Unused",DevMode!B3)</f>
        <v>OOD (FC-300)</v>
      </c>
      <c r="B5" s="215" t="str">
        <f>IFERROR(VLOOKUP($B$4,Sheet2!$A$4:$J$63,2,FALSE),"")</f>
        <v/>
      </c>
      <c r="C5" s="216">
        <f>IFERROR(VLOOKUP($B$4,Sheet2!$A$4:$J$63,3,FALSE),"")</f>
        <v>0</v>
      </c>
      <c r="D5" s="3">
        <f>IFERROR(VLOOKUP($B$4,Sheet2!$A$4:$J$63,4,FALSE),"")</f>
        <v>0</v>
      </c>
      <c r="E5" s="215" t="str">
        <f>IFERROR(VLOOKUP($E$4,Sheet2!$A$4:$J$63,2,FALSE),"")</f>
        <v/>
      </c>
      <c r="F5" s="216">
        <f>IFERROR(VLOOKUP($E$4,Sheet2!$A$4:$J$63,3,FALSE),"")</f>
        <v>0</v>
      </c>
      <c r="G5" s="3">
        <f>IFERROR(VLOOKUP($E$4,Sheet2!$A$4:$J$63,4,FALSE),"")</f>
        <v>0</v>
      </c>
      <c r="H5" s="215" t="str">
        <f>IFERROR(VLOOKUP($H$4,Sheet2!$A$4:$J$63,2,FALSE),"")</f>
        <v/>
      </c>
      <c r="I5" s="216">
        <f>IFERROR(VLOOKUP($H$4,Sheet2!$A$4:$J$63,3,FALSE),"")</f>
        <v>0</v>
      </c>
      <c r="J5" s="3">
        <f>IFERROR(VLOOKUP($H$4,Sheet2!$A$4:$J$63,4,FALSE),"")</f>
        <v>0</v>
      </c>
      <c r="K5" s="215" t="str">
        <f>IFERROR(VLOOKUP($K$4,Sheet2!$A$4:$J$63,2,FALSE),"")</f>
        <v/>
      </c>
      <c r="L5" s="216">
        <f>IFERROR(VLOOKUP($K$4,Sheet2!$A$4:$J$63,3,FALSE),"")</f>
        <v>0</v>
      </c>
      <c r="M5" s="3">
        <f>IFERROR(VLOOKUP($K$4,Sheet2!$A$4:$J$63,4,FALSE),"")</f>
        <v>0</v>
      </c>
      <c r="N5" s="215" t="str">
        <f>IFERROR(VLOOKUP($N$4,Sheet2!$A$4:$J$63,2,FALSE),"")</f>
        <v/>
      </c>
      <c r="O5" s="216">
        <f>IFERROR(VLOOKUP($N$4,Sheet2!$A$4:$J$63,3,FALSE),"")</f>
        <v>0</v>
      </c>
      <c r="P5" s="3">
        <f>IFERROR(VLOOKUP($N$4,Sheet2!$A$4:$J$63,4,FALSE),"")</f>
        <v>0</v>
      </c>
      <c r="Q5" s="215" t="str">
        <f>IFERROR(VLOOKUP($Q$4,Sheet2!$A$4:$J$63,2,FALSE),"")</f>
        <v/>
      </c>
      <c r="R5" s="216">
        <f>IFERROR(VLOOKUP($Q$4,Sheet2!$A$4:$J$63,3,FALSE),"")</f>
        <v>0</v>
      </c>
      <c r="S5" s="3">
        <f>IFERROR(VLOOKUP($Q$4,Sheet2!$A$4:$J$63,4,FALSE),"")</f>
        <v>0</v>
      </c>
      <c r="T5" s="215" t="str">
        <f>IFERROR(VLOOKUP($T$4,Sheet2!$A$4:$J$63,2,FALSE),"")</f>
        <v/>
      </c>
      <c r="U5" s="216">
        <f>IFERROR(VLOOKUP($T$4,Sheet2!$A$4:$J$63,3,FALSE),"")</f>
        <v>0</v>
      </c>
      <c r="V5" s="3">
        <f>IFERROR(VLOOKUP($T$4,Sheet2!$A$4:$J$63,4,FALSE),"")</f>
        <v>0</v>
      </c>
    </row>
    <row r="6" spans="1:24" ht="15.95" customHeight="1" x14ac:dyDescent="0.25">
      <c r="A6" s="31" t="str">
        <f>IF(DevMode!B4="","Unused",DevMode!B4)</f>
        <v>AOOD (FC-300)</v>
      </c>
      <c r="B6" s="217" t="str">
        <f>IFERROR(VLOOKUP($B$4,Sheet2!$A$4:$J$63,5,FALSE),"")</f>
        <v/>
      </c>
      <c r="C6" s="218">
        <f>IFERROR(VLOOKUP($B$4,Sheet2!$A$4:$J$63,6,FALSE),"")</f>
        <v>0</v>
      </c>
      <c r="D6" s="4" t="str">
        <f>IFERROR(VLOOKUP($B$4,Sheet2!$A$4:$J$63,7,FALSE),"")</f>
        <v/>
      </c>
      <c r="E6" s="217" t="str">
        <f>IFERROR(VLOOKUP($E$4,Sheet2!$A$4:$J$63,5,FALSE),"")</f>
        <v/>
      </c>
      <c r="F6" s="218">
        <f>IFERROR(VLOOKUP($E$4,Sheet2!$A$4:$J$63,6,FALSE),"")</f>
        <v>0</v>
      </c>
      <c r="G6" s="4" t="str">
        <f>IFERROR(VLOOKUP($E$4,Sheet2!$A$4:$J$63,7,FALSE),"")</f>
        <v/>
      </c>
      <c r="H6" s="217" t="str">
        <f>IFERROR(VLOOKUP($H$4,Sheet2!$A$4:$J$63,5,FALSE),"")</f>
        <v/>
      </c>
      <c r="I6" s="218">
        <f>IFERROR(VLOOKUP($H$4,Sheet2!$A$4:$J$63,6,FALSE),"")</f>
        <v>0</v>
      </c>
      <c r="J6" s="4" t="str">
        <f>IFERROR(VLOOKUP($H$4,Sheet2!$A$4:$J$63,7,FALSE),"")</f>
        <v/>
      </c>
      <c r="K6" s="217" t="str">
        <f>IFERROR(VLOOKUP($K$4,Sheet2!$A$4:$J$63,5,FALSE),"")</f>
        <v/>
      </c>
      <c r="L6" s="218">
        <f>IFERROR(VLOOKUP($K$4,Sheet2!$A$4:$J$63,6,FALSE),"")</f>
        <v>0</v>
      </c>
      <c r="M6" s="4" t="str">
        <f>IFERROR(VLOOKUP($K$4,Sheet2!$A$4:$J$63,7,FALSE),"")</f>
        <v/>
      </c>
      <c r="N6" s="217" t="str">
        <f>IFERROR(VLOOKUP($N$4,Sheet2!$A$4:$J$63,5,FALSE),"")</f>
        <v/>
      </c>
      <c r="O6" s="218">
        <f>IFERROR(VLOOKUP($N$4,Sheet2!$A$4:$J$63,6,FALSE),"")</f>
        <v>0</v>
      </c>
      <c r="P6" s="4" t="str">
        <f>IFERROR(VLOOKUP($N$4,Sheet2!$A$4:$J$63,7,FALSE),"")</f>
        <v/>
      </c>
      <c r="Q6" s="217" t="str">
        <f>IFERROR(VLOOKUP($Q$4,Sheet2!$A$4:$J$63,5,FALSE),"")</f>
        <v/>
      </c>
      <c r="R6" s="218">
        <f>IFERROR(VLOOKUP($Q$4,Sheet2!$A$4:$J$63,6,FALSE),"")</f>
        <v>0</v>
      </c>
      <c r="S6" s="4" t="str">
        <f>IFERROR(VLOOKUP($Q$4,Sheet2!$A$4:$J$63,7,FALSE),"")</f>
        <v/>
      </c>
      <c r="T6" s="217" t="str">
        <f>IFERROR(VLOOKUP($T$4,Sheet2!$A$4:$J$63,5,FALSE),"")</f>
        <v/>
      </c>
      <c r="U6" s="218">
        <f>IFERROR(VLOOKUP($T$4,Sheet2!$A$4:$J$63,6,FALSE),"")</f>
        <v>0</v>
      </c>
      <c r="V6" s="4" t="str">
        <f>IFERROR(VLOOKUP($T$4,Sheet2!$A$4:$J$63,7,FALSE),"")</f>
        <v/>
      </c>
    </row>
    <row r="7" spans="1:24" ht="15.95" customHeight="1" x14ac:dyDescent="0.25">
      <c r="A7" s="31" t="str">
        <f>IF(DevMode!B5="","Unused",DevMode!B5)</f>
        <v>Duty Driver (FC-300)</v>
      </c>
      <c r="B7" s="217" t="str">
        <f>IFERROR(VLOOKUP($B$4,Sheet2!$A$4:$J$63,8,FALSE),"")</f>
        <v/>
      </c>
      <c r="C7" s="218">
        <f>IFERROR(VLOOKUP($B$4,Sheet2!$A$4:$J$63,9,FALSE),"")</f>
        <v>0</v>
      </c>
      <c r="D7" s="4" t="str">
        <f>IFERROR(VLOOKUP($B$4,Sheet2!$A$4:$J$63,10,FALSE),"")</f>
        <v/>
      </c>
      <c r="E7" s="217" t="str">
        <f>IFERROR(VLOOKUP($E$4,Sheet2!$A$4:$J$63,8,FALSE),"")</f>
        <v/>
      </c>
      <c r="F7" s="218">
        <f>IFERROR(VLOOKUP($E$4,Sheet2!$A$4:$J$63,9,FALSE),"")</f>
        <v>0</v>
      </c>
      <c r="G7" s="4" t="str">
        <f>IFERROR(VLOOKUP($E$4,Sheet2!$A$4:$J$63,10,FALSE),"")</f>
        <v/>
      </c>
      <c r="H7" s="217" t="str">
        <f>IFERROR(VLOOKUP($H$4,Sheet2!$A$4:$J$63,8,FALSE),"")</f>
        <v/>
      </c>
      <c r="I7" s="218">
        <f>IFERROR(VLOOKUP($H$4,Sheet2!$A$4:$J$63,9,FALSE),"")</f>
        <v>0</v>
      </c>
      <c r="J7" s="4" t="str">
        <f>IFERROR(VLOOKUP($H$4,Sheet2!$A$4:$J$63,10,FALSE),"")</f>
        <v/>
      </c>
      <c r="K7" s="217" t="str">
        <f>IFERROR(VLOOKUP($K$4,Sheet2!$A$4:$J$63,8,FALSE),"")</f>
        <v/>
      </c>
      <c r="L7" s="218">
        <f>IFERROR(VLOOKUP($K$4,Sheet2!$A$4:$J$63,9,FALSE),"")</f>
        <v>0</v>
      </c>
      <c r="M7" s="4" t="str">
        <f>IFERROR(VLOOKUP($K$4,Sheet2!$A$4:$J$63,10,FALSE),"")</f>
        <v/>
      </c>
      <c r="N7" s="217" t="str">
        <f>IFERROR(VLOOKUP($N$4,Sheet2!$A$4:$J$63,8,FALSE),"")</f>
        <v/>
      </c>
      <c r="O7" s="218">
        <f>IFERROR(VLOOKUP($N$4,Sheet2!$A$4:$J$63,9,FALSE),"")</f>
        <v>0</v>
      </c>
      <c r="P7" s="4" t="str">
        <f>IFERROR(VLOOKUP($N$4,Sheet2!$A$4:$J$63,10,FALSE),"")</f>
        <v/>
      </c>
      <c r="Q7" s="217" t="str">
        <f>IFERROR(VLOOKUP($Q$4,Sheet2!$A$4:$J$63,8,FALSE),"")</f>
        <v/>
      </c>
      <c r="R7" s="218">
        <f>IFERROR(VLOOKUP($Q$4,Sheet2!$A$4:$J$63,9,FALSE),"")</f>
        <v>0</v>
      </c>
      <c r="S7" s="4" t="str">
        <f>IFERROR(VLOOKUP($Q$4,Sheet2!$A$4:$J$63,10,FALSE),"")</f>
        <v/>
      </c>
      <c r="T7" s="217" t="str">
        <f>IFERROR(VLOOKUP($T$4,Sheet2!$A$4:$J$63,8,FALSE),"")</f>
        <v/>
      </c>
      <c r="U7" s="218">
        <f>IFERROR(VLOOKUP($T$4,Sheet2!$A$4:$J$63,9,FALSE),"")</f>
        <v>0</v>
      </c>
      <c r="V7" s="4" t="str">
        <f>IFERROR(VLOOKUP($T$4,Sheet2!$A$4:$J$63,10,FALSE),"")</f>
        <v/>
      </c>
    </row>
    <row r="8" spans="1:24" ht="15.95" customHeight="1" x14ac:dyDescent="0.25">
      <c r="A8" s="31" t="str">
        <f>IF(DevMode!B6="","Unused",DevMode!B6)</f>
        <v>DNCO (FC-370)</v>
      </c>
      <c r="B8" s="217" t="str">
        <f>IFERROR(VLOOKUP($B$4,Sheet4!$A$4:$S$65,2,FALSE),"")</f>
        <v/>
      </c>
      <c r="C8" s="218">
        <f>IFERROR(VLOOKUP($B$4,Sheet4!$A$4:$S$65,3,FALSE),"")</f>
        <v>0</v>
      </c>
      <c r="D8" s="4" t="str">
        <f>IFERROR(VLOOKUP($B$4,Sheet4!$A$4:$S$65,4,FALSE),"")</f>
        <v/>
      </c>
      <c r="E8" s="217" t="str">
        <f>IFERROR(VLOOKUP(E4,Sheet4!A4:M65,2,FALSE),"")</f>
        <v/>
      </c>
      <c r="F8" s="218">
        <f>IFERROR(VLOOKUP(E4,Sheet4!A4:M65,3,FALSE),"")</f>
        <v>0</v>
      </c>
      <c r="G8" s="4" t="str">
        <f>IFERROR(VLOOKUP($E$4,Sheet4!$A$4:$M$65,4,FALSE),"")</f>
        <v/>
      </c>
      <c r="H8" s="217" t="str">
        <f>IFERROR(VLOOKUP($H$4,Sheet4!$A$4:$S$65,2,FALSE),"")</f>
        <v/>
      </c>
      <c r="I8" s="218">
        <f>IFERROR(VLOOKUP($H$4,Sheet4!$A$4:$S$65,3,FALSE),"")</f>
        <v>0</v>
      </c>
      <c r="J8" s="4" t="str">
        <f>IFERROR(VLOOKUP($H$4,Sheet4!$A$4:$S$65,4,FALSE),"")</f>
        <v/>
      </c>
      <c r="K8" s="217" t="str">
        <f>IFERROR(VLOOKUP($K$4,Sheet4!$A$4:$S$65,2,FALSE),"")</f>
        <v/>
      </c>
      <c r="L8" s="218">
        <f>IFERROR(VLOOKUP($K$4,Sheet4!$A$4:$S$65,3,FALSE),"")</f>
        <v>0</v>
      </c>
      <c r="M8" s="4" t="str">
        <f>IFERROR(VLOOKUP($K$4,Sheet4!$A$4:$S$65,4,FALSE),"")</f>
        <v/>
      </c>
      <c r="N8" s="217" t="str">
        <f>IFERROR(VLOOKUP($N$4,Sheet4!$A$4:$S$65,2,FALSE),"")</f>
        <v/>
      </c>
      <c r="O8" s="218">
        <f>IFERROR(VLOOKUP($N$4,Sheet4!$A$4:$S$65,3,FALSE),"")</f>
        <v>0</v>
      </c>
      <c r="P8" s="4" t="str">
        <f>IFERROR(VLOOKUP($N$4,Sheet4!$A$4:$S$65,4,FALSE),"")</f>
        <v/>
      </c>
      <c r="Q8" s="217" t="str">
        <f>IFERROR(VLOOKUP($Q$4,Sheet4!$A$4:$S$65,2,FALSE),"")</f>
        <v/>
      </c>
      <c r="R8" s="218">
        <f>IFERROR(VLOOKUP($Q$4,Sheet4!$A$4:$S$65,3,FALSE),"")</f>
        <v>0</v>
      </c>
      <c r="S8" s="4" t="str">
        <f>IFERROR(VLOOKUP($Q$4,Sheet4!$A$4:$S$65,4,FALSE),"")</f>
        <v/>
      </c>
      <c r="T8" s="217" t="str">
        <f>IFERROR(VLOOKUP($T$4,Sheet4!$A$4:$S$65,2,FALSE),"")</f>
        <v/>
      </c>
      <c r="U8" s="218">
        <f>IFERROR(VLOOKUP($T$4,Sheet4!$A$4:$S$65,3,FALSE),"")</f>
        <v>0</v>
      </c>
      <c r="V8" s="4" t="str">
        <f>IFERROR(VLOOKUP($T$4,Sheet4!$A$4:$S$65,4,FALSE),"")</f>
        <v/>
      </c>
    </row>
    <row r="9" spans="1:24" ht="15.95" customHeight="1" x14ac:dyDescent="0.25">
      <c r="A9" s="31" t="str">
        <f>IF(DevMode!B7="","Unused",DevMode!B7)</f>
        <v>ADNCO (FC-370)</v>
      </c>
      <c r="B9" s="217" t="str">
        <f>IFERROR(VLOOKUP($B$4,Sheet4!$A$4:$S$65,5,FALSE),"")</f>
        <v/>
      </c>
      <c r="C9" s="218">
        <f>IFERROR(VLOOKUP($B$4,Sheet4!$A$4:$S$65,6,FALSE),"")</f>
        <v>0</v>
      </c>
      <c r="D9" s="4" t="str">
        <f>IFERROR(VLOOKUP($B$4,Sheet4!$A$4:$S$65,7,FALSE),"")</f>
        <v/>
      </c>
      <c r="E9" s="217" t="str">
        <f>IFERROR(VLOOKUP(E4,Sheet4!A4:M65,5,FALSE),"")</f>
        <v/>
      </c>
      <c r="F9" s="218">
        <f>IFERROR(VLOOKUP(E4,Sheet4!A4:M65,6,FALSE),"")</f>
        <v>0</v>
      </c>
      <c r="G9" s="4" t="str">
        <f>IFERROR(VLOOKUP($E$4,Sheet4!$A$4:$M$65,7,FALSE),"")</f>
        <v/>
      </c>
      <c r="H9" s="217" t="str">
        <f>IFERROR(VLOOKUP($H$4,Sheet4!$A$4:$S$65,5,FALSE),"")</f>
        <v/>
      </c>
      <c r="I9" s="218">
        <f>IFERROR(VLOOKUP($H$4,Sheet4!$A$4:$S$65,6,FALSE),"")</f>
        <v>0</v>
      </c>
      <c r="J9" s="4" t="str">
        <f>IFERROR(VLOOKUP($H$4,Sheet4!$A$4:$S$65,7,FALSE),"")</f>
        <v/>
      </c>
      <c r="K9" s="217" t="str">
        <f>IFERROR(VLOOKUP($K$4,Sheet4!$A$4:$S$65,5,FALSE),"")</f>
        <v/>
      </c>
      <c r="L9" s="218">
        <f>IFERROR(VLOOKUP($K$4,Sheet4!$A$4:$S$65,6,FALSE),"")</f>
        <v>0</v>
      </c>
      <c r="M9" s="4" t="str">
        <f>IFERROR(VLOOKUP($K$4,Sheet4!$A$4:$S$65,7,FALSE),"")</f>
        <v/>
      </c>
      <c r="N9" s="217" t="str">
        <f>IFERROR(VLOOKUP($N$4,Sheet4!$A$4:$S$65,5,FALSE),"")</f>
        <v/>
      </c>
      <c r="O9" s="218">
        <f>IFERROR(VLOOKUP($N$4,Sheet4!$A$4:$S$65,6,FALSE),"")</f>
        <v>0</v>
      </c>
      <c r="P9" s="4" t="str">
        <f>IFERROR(VLOOKUP($N$4,Sheet4!$A$4:$S$65,7,FALSE),"")</f>
        <v/>
      </c>
      <c r="Q9" s="217" t="str">
        <f>IFERROR(VLOOKUP($Q$4,Sheet4!$A$4:$S$65,5,FALSE),"")</f>
        <v/>
      </c>
      <c r="R9" s="218">
        <f>IFERROR(VLOOKUP($Q$4,Sheet4!$A$4:$S$65,6,FALSE),"")</f>
        <v>0</v>
      </c>
      <c r="S9" s="4" t="str">
        <f>IFERROR(VLOOKUP($Q$4,Sheet4!$A$4:$S$65,7,FALSE),"")</f>
        <v/>
      </c>
      <c r="T9" s="217" t="str">
        <f>IFERROR(VLOOKUP($T$4,Sheet4!$A$4:$S$65,5,FALSE),"")</f>
        <v/>
      </c>
      <c r="U9" s="218">
        <f>IFERROR(VLOOKUP($T$4,Sheet4!$A$4:$S$65,6,FALSE),"")</f>
        <v>0</v>
      </c>
      <c r="V9" s="4" t="str">
        <f>IFERROR(VLOOKUP($T$4,Sheet4!$A$4:$S$65,7,FALSE),"")</f>
        <v/>
      </c>
    </row>
    <row r="10" spans="1:24" ht="15.95" customHeight="1" x14ac:dyDescent="0.25">
      <c r="A10" s="31" t="str">
        <f>IF(DevMode!B8="","Unused",DevMode!B8)</f>
        <v>Rover 1 (FC-371)</v>
      </c>
      <c r="B10" s="217" t="str">
        <f>IFERROR(VLOOKUP($B$4,Sheet4!$A$4:$S$65,8,FALSE),"")</f>
        <v/>
      </c>
      <c r="C10" s="218">
        <f>IFERROR(VLOOKUP($B$4,Sheet4!$A$4:$S$65,9,FALSE),"")</f>
        <v>0</v>
      </c>
      <c r="D10" s="4" t="str">
        <f>IFERROR(VLOOKUP($B$4,Sheet4!$A$4:$S$65,10,FALSE),"")</f>
        <v/>
      </c>
      <c r="E10" s="217" t="str">
        <f>IFERROR(VLOOKUP(E4,Sheet4!A4:M65,8,FALSE),"")</f>
        <v/>
      </c>
      <c r="F10" s="218">
        <f>IFERROR(VLOOKUP(E4,Sheet4!A4:M65,9,FALSE),"")</f>
        <v>0</v>
      </c>
      <c r="G10" s="4" t="str">
        <f>IFERROR(VLOOKUP($E$4,Sheet4!$A$4:$M$65,10,FALSE),"")</f>
        <v/>
      </c>
      <c r="H10" s="217" t="str">
        <f>IFERROR(VLOOKUP($H$4,Sheet4!$A$4:$S$65,8,FALSE),"")</f>
        <v/>
      </c>
      <c r="I10" s="218">
        <f>IFERROR(VLOOKUP($H$4,Sheet4!$A$4:$S$65,9,FALSE),"")</f>
        <v>0</v>
      </c>
      <c r="J10" s="4" t="str">
        <f>IFERROR(VLOOKUP($H$4,Sheet4!$A$4:$S$65,10,FALSE),"")</f>
        <v/>
      </c>
      <c r="K10" s="217" t="str">
        <f>IFERROR(VLOOKUP($K$4,Sheet4!$A$4:$S$65,8,FALSE),"")</f>
        <v/>
      </c>
      <c r="L10" s="218">
        <f>IFERROR(VLOOKUP($K$4,Sheet4!$A$4:$S$65,9,FALSE),"")</f>
        <v>0</v>
      </c>
      <c r="M10" s="4" t="str">
        <f>IFERROR(VLOOKUP($K$4,Sheet4!$A$4:$S$65,10,FALSE),"")</f>
        <v/>
      </c>
      <c r="N10" s="217" t="str">
        <f>IFERROR(VLOOKUP($N$4,Sheet4!$A$4:$S$65,8,FALSE),"")</f>
        <v/>
      </c>
      <c r="O10" s="218">
        <f>IFERROR(VLOOKUP($N$4,Sheet4!$A$4:$S$65,9,FALSE),"")</f>
        <v>0</v>
      </c>
      <c r="P10" s="4" t="str">
        <f>IFERROR(VLOOKUP($N$4,Sheet4!$A$4:$S$65,10,FALSE),"")</f>
        <v/>
      </c>
      <c r="Q10" s="217" t="str">
        <f>IFERROR(VLOOKUP($Q$4,Sheet4!$A$4:$S$65,8,FALSE),"")</f>
        <v/>
      </c>
      <c r="R10" s="218">
        <f>IFERROR(VLOOKUP($Q$4,Sheet4!$A$4:$S$65,9,FALSE),"")</f>
        <v>0</v>
      </c>
      <c r="S10" s="4" t="str">
        <f>IFERROR(VLOOKUP($Q$4,Sheet4!$A$4:$S$65,10,FALSE),"")</f>
        <v/>
      </c>
      <c r="T10" s="217" t="str">
        <f>IFERROR(VLOOKUP($T$4,Sheet4!$A$4:$S$65,8,FALSE),"")</f>
        <v/>
      </c>
      <c r="U10" s="218">
        <f>IFERROR(VLOOKUP($T$4,Sheet4!$A$4:$S$65,9,FALSE),"")</f>
        <v>0</v>
      </c>
      <c r="V10" s="4" t="str">
        <f>IFERROR(VLOOKUP($T$4,Sheet4!$A$4:$S$65,10,FALSE),"")</f>
        <v/>
      </c>
    </row>
    <row r="11" spans="1:24" ht="15.95" customHeight="1" x14ac:dyDescent="0.25">
      <c r="A11" s="31" t="str">
        <f>IF(DevMode!B9="","Unused",DevMode!B9)</f>
        <v>Rover 2 (FC-371)</v>
      </c>
      <c r="B11" s="217" t="str">
        <f>IFERROR(VLOOKUP($B$4,Sheet4!$A$4:$S$65,11,FALSE),"")</f>
        <v/>
      </c>
      <c r="C11" s="218">
        <f>IFERROR(VLOOKUP($B$4,Sheet4!$A$4:$S$65,12,FALSE),"")</f>
        <v>0</v>
      </c>
      <c r="D11" s="4" t="str">
        <f>IFERROR(VLOOKUP($B$4,Sheet4!$A$4:$S$65,13,FALSE),"")</f>
        <v/>
      </c>
      <c r="E11" s="217" t="str">
        <f>IFERROR(VLOOKUP(E4,Sheet4!A4:M65,11,FALSE),"")</f>
        <v/>
      </c>
      <c r="F11" s="218">
        <f>IFERROR(VLOOKUP(E4,Sheet4!A4:M65,12,FALSE),"")</f>
        <v>0</v>
      </c>
      <c r="G11" s="4" t="str">
        <f>IFERROR(VLOOKUP($E$4,Sheet4!$A$4:$M$65,13,FALSE),"")</f>
        <v/>
      </c>
      <c r="H11" s="217" t="str">
        <f>IFERROR(VLOOKUP($H$4,Sheet4!$A$4:$S$65,11,FALSE),"")</f>
        <v/>
      </c>
      <c r="I11" s="218">
        <f>IFERROR(VLOOKUP($H$4,Sheet4!$A$4:$S$65,12,FALSE),"")</f>
        <v>0</v>
      </c>
      <c r="J11" s="4" t="str">
        <f>IFERROR(VLOOKUP($H$4,Sheet4!$A$4:$S$65,13,FALSE),"")</f>
        <v/>
      </c>
      <c r="K11" s="217" t="str">
        <f>IFERROR(VLOOKUP($K$4,Sheet4!$A$4:$S$65,11,FALSE),"")</f>
        <v/>
      </c>
      <c r="L11" s="218">
        <f>IFERROR(VLOOKUP($K$4,Sheet4!$A$4:$S$65,12,FALSE),"")</f>
        <v>0</v>
      </c>
      <c r="M11" s="4" t="str">
        <f>IFERROR(VLOOKUP($K$4,Sheet4!$A$4:$S$65,13,FALSE),"")</f>
        <v/>
      </c>
      <c r="N11" s="217" t="str">
        <f>IFERROR(VLOOKUP($N$4,Sheet4!$A$4:$S$65,11,FALSE),"")</f>
        <v/>
      </c>
      <c r="O11" s="218">
        <f>IFERROR(VLOOKUP($N$4,Sheet4!$A$4:$S$65,12,FALSE),"")</f>
        <v>0</v>
      </c>
      <c r="P11" s="4" t="str">
        <f>IFERROR(VLOOKUP($N$4,Sheet4!$A$4:$S$65,13,FALSE),"")</f>
        <v/>
      </c>
      <c r="Q11" s="217" t="str">
        <f>IFERROR(VLOOKUP($Q$4,Sheet4!$A$4:$S$65,11,FALSE),"")</f>
        <v/>
      </c>
      <c r="R11" s="218">
        <f>IFERROR(VLOOKUP($Q$4,Sheet4!$A$4:$S$65,12,FALSE),"")</f>
        <v>0</v>
      </c>
      <c r="S11" s="4" t="str">
        <f>IFERROR(VLOOKUP($Q$4,Sheet4!$A$4:$S$65,13,FALSE),"")</f>
        <v/>
      </c>
      <c r="T11" s="217" t="str">
        <f>IFERROR(VLOOKUP($T$4,Sheet4!$A$4:$S$65,11,FALSE),"")</f>
        <v/>
      </c>
      <c r="U11" s="218">
        <f>IFERROR(VLOOKUP($T$4,Sheet4!$A$4:$S$65,12,FALSE),"")</f>
        <v>0</v>
      </c>
      <c r="V11" s="4" t="str">
        <f>IFERROR(VLOOKUP($T$4,Sheet4!$A$4:$S$65,13,FALSE),"")</f>
        <v/>
      </c>
    </row>
    <row r="12" spans="1:24" ht="15.95" customHeight="1" x14ac:dyDescent="0.25">
      <c r="A12" s="31" t="str">
        <f>IF(DevMode!B10="","Unused",DevMode!B10)</f>
        <v>Rover 1 (FC-372)</v>
      </c>
      <c r="B12" s="217" t="str">
        <f>IFERROR(VLOOKUP($B$4,Sheet4!$A$4:$S$65,14,FALSE),"")</f>
        <v/>
      </c>
      <c r="C12" s="218">
        <f>IFERROR(VLOOKUP($B$4,Sheet4!$A$4:$S$65,15,FALSE),"")</f>
        <v>0</v>
      </c>
      <c r="D12" s="4" t="str">
        <f>IFERROR(VLOOKUP($B$4,Sheet4!$A$4:$S$65,16,FALSE),"")</f>
        <v/>
      </c>
      <c r="E12" s="217" t="str">
        <f>IFERROR(VLOOKUP($E$4,Sheet4!$A$4:$S$65,14,FALSE),"")</f>
        <v/>
      </c>
      <c r="F12" s="218">
        <f>IFERROR(VLOOKUP($E$4,Sheet4!$A$4:$S$65,15,FALSE),"")</f>
        <v>0</v>
      </c>
      <c r="G12" s="4" t="str">
        <f>IFERROR(VLOOKUP($E$4,Sheet4!$A$4:$S$65,16,FALSE),"")</f>
        <v/>
      </c>
      <c r="H12" s="217" t="str">
        <f>IFERROR(VLOOKUP($H$4,Sheet4!$A$4:$S$65,14,FALSE),"")</f>
        <v/>
      </c>
      <c r="I12" s="218">
        <f>IFERROR(VLOOKUP($H$4,Sheet4!$A$4:$S$65,15,FALSE),"")</f>
        <v>0</v>
      </c>
      <c r="J12" s="4" t="str">
        <f>IFERROR(VLOOKUP($H$4,Sheet4!$A$4:$S$65,16,FALSE),"")</f>
        <v/>
      </c>
      <c r="K12" s="217" t="str">
        <f>IFERROR(VLOOKUP($K$4,Sheet4!$A$4:$S$65,14,FALSE),"")</f>
        <v/>
      </c>
      <c r="L12" s="218">
        <f>IFERROR(VLOOKUP($K$4,Sheet4!$A$4:$S$65,15,FALSE),"")</f>
        <v>0</v>
      </c>
      <c r="M12" s="4" t="str">
        <f>IFERROR(VLOOKUP($K$4,Sheet4!$A$4:$S$65,16,FALSE),"")</f>
        <v/>
      </c>
      <c r="N12" s="217" t="str">
        <f>IFERROR(VLOOKUP($N$4,Sheet4!$A$4:$S$65,14,FALSE),"")</f>
        <v/>
      </c>
      <c r="O12" s="218">
        <f>IFERROR(VLOOKUP($N$4,Sheet4!$A$4:$S$65,15,FALSE),"")</f>
        <v>0</v>
      </c>
      <c r="P12" s="4" t="str">
        <f>IFERROR(VLOOKUP($N$4,Sheet4!$A$4:$S$65,16,FALSE),"")</f>
        <v/>
      </c>
      <c r="Q12" s="217" t="str">
        <f>IFERROR(VLOOKUP($Q$4,Sheet4!$A$4:$S$65,14,FALSE),"")</f>
        <v/>
      </c>
      <c r="R12" s="218">
        <f>IFERROR(VLOOKUP($Q$4,Sheet4!$A$4:$S$65,15,FALSE),"")</f>
        <v>0</v>
      </c>
      <c r="S12" s="4" t="str">
        <f>IFERROR(VLOOKUP($Q$4,Sheet4!$A$4:$S$65,16,FALSE),"")</f>
        <v/>
      </c>
      <c r="T12" s="217" t="str">
        <f>IFERROR(VLOOKUP($T$4,Sheet4!$A$4:$S$65,14,FALSE),"")</f>
        <v/>
      </c>
      <c r="U12" s="218">
        <f>IFERROR(VLOOKUP($T$4,Sheet4!$A$4:$S$65,15,FALSE),"")</f>
        <v>0</v>
      </c>
      <c r="V12" s="4" t="str">
        <f>IFERROR(VLOOKUP($T$4,Sheet4!$A$4:$S$65,16,FALSE),"")</f>
        <v/>
      </c>
    </row>
    <row r="13" spans="1:24" ht="15.95" customHeight="1" x14ac:dyDescent="0.25">
      <c r="A13" s="31" t="str">
        <f>IF(DevMode!B11="","Unused",DevMode!B11)</f>
        <v>Rover 2 (FC-372)</v>
      </c>
      <c r="B13" s="217" t="str">
        <f>IFERROR(VLOOKUP($B$4,Sheet4!$A$4:$S$65,17,FALSE),"")</f>
        <v/>
      </c>
      <c r="C13" s="218">
        <f>IFERROR(VLOOKUP($B$4,Sheet4!$A$4:$S$65,18,FALSE),"")</f>
        <v>0</v>
      </c>
      <c r="D13" s="4" t="str">
        <f>IFERROR(VLOOKUP($B$4,Sheet4!$A$4:$S$65,19,FALSE),"")</f>
        <v/>
      </c>
      <c r="E13" s="217" t="str">
        <f>IFERROR(VLOOKUP($B$4,Sheet4!$A$4:$S$65,17,FALSE),"")</f>
        <v/>
      </c>
      <c r="F13" s="218">
        <f>IFERROR(VLOOKUP($E$4,Sheet4!$A$4:$S$65,18,FALSE),"")</f>
        <v>0</v>
      </c>
      <c r="G13" s="4" t="str">
        <f>IFERROR(VLOOKUP($E$4,Sheet4!$A$4:$S$65,19,FALSE),"")</f>
        <v/>
      </c>
      <c r="H13" s="217" t="str">
        <f>IFERROR(VLOOKUP($H$4,Sheet4!$A$4:$S$65,17,FALSE),"")</f>
        <v/>
      </c>
      <c r="I13" s="218">
        <f>IFERROR(VLOOKUP($H$4,Sheet4!$A$4:$S$65,18,FALSE),"")</f>
        <v>0</v>
      </c>
      <c r="J13" s="4" t="str">
        <f>IFERROR(VLOOKUP($H$4,Sheet4!$A$4:$S$65,19,FALSE),"")</f>
        <v/>
      </c>
      <c r="K13" s="217" t="str">
        <f>IFERROR(VLOOKUP($K$4,Sheet4!$A$4:$S$65,17,FALSE),"")</f>
        <v/>
      </c>
      <c r="L13" s="218">
        <f>IFERROR(VLOOKUP($K$4,Sheet4!$A$4:$S$65,18,FALSE),"")</f>
        <v>0</v>
      </c>
      <c r="M13" s="4" t="str">
        <f>IFERROR(VLOOKUP($K$4,Sheet4!$A$4:$S$65,19,FALSE),"")</f>
        <v/>
      </c>
      <c r="N13" s="217" t="str">
        <f>IFERROR(VLOOKUP($N$4,Sheet4!$A$4:$S$65,17,FALSE),"")</f>
        <v/>
      </c>
      <c r="O13" s="218">
        <f>IFERROR(VLOOKUP($N$4,Sheet4!$A$4:$S$65,18,FALSE),"")</f>
        <v>0</v>
      </c>
      <c r="P13" s="4" t="str">
        <f>IFERROR(VLOOKUP($N$4,Sheet4!$A$4:$S$65,19,FALSE),"")</f>
        <v/>
      </c>
      <c r="Q13" s="217" t="str">
        <f>IFERROR(VLOOKUP($Q$4,Sheet4!$A$4:$S$65,17,FALSE),"")</f>
        <v/>
      </c>
      <c r="R13" s="218">
        <f>IFERROR(VLOOKUP($Q$4,Sheet4!$A$4:$S$65,18,FALSE),"")</f>
        <v>0</v>
      </c>
      <c r="S13" s="4" t="str">
        <f>IFERROR(VLOOKUP($Q$4,Sheet4!$A$4:$S$65,19,FALSE),"")</f>
        <v/>
      </c>
      <c r="T13" s="217" t="str">
        <f>IFERROR(VLOOKUP($T$4,Sheet4!$A$4:$S$65,17,FALSE),"")</f>
        <v/>
      </c>
      <c r="U13" s="218">
        <f>IFERROR(VLOOKUP($T$4,Sheet4!$A$4:$S$65,18,FALSE),"")</f>
        <v>0</v>
      </c>
      <c r="V13" s="4" t="str">
        <f>IFERROR(VLOOKUP($T$4,Sheet4!$A$4:$S$65,19,FALSE),"")</f>
        <v/>
      </c>
    </row>
    <row r="14" spans="1:24" ht="15.95" customHeight="1" x14ac:dyDescent="0.25">
      <c r="A14" s="31" t="str">
        <f>IF(DevMode!B12="","Unused",DevMode!B12)</f>
        <v>DNCO (FC-481)</v>
      </c>
      <c r="B14" s="217" t="str">
        <f>IFERROR(VLOOKUP($B$4,Sheet5!$A$4:$M$63,2,FALSE),"")</f>
        <v/>
      </c>
      <c r="C14" s="218">
        <f>IFERROR(VLOOKUP($B$4,Sheet5!$A$4:$M$63,3,FALSE),"")</f>
        <v>0</v>
      </c>
      <c r="D14" s="4" t="str">
        <f>IFERROR(VLOOKUP($B$4,Sheet5!$A$4:$M$63,4,FALSE),"")</f>
        <v/>
      </c>
      <c r="E14" s="217" t="str">
        <f>IFERROR(VLOOKUP($E$4,Sheet5!$A$4:$M$63,2,FALSE),"")</f>
        <v/>
      </c>
      <c r="F14" s="218">
        <f>IFERROR(VLOOKUP($E$4,Sheet5!$A$4:$M$63,3,FALSE),"")</f>
        <v>0</v>
      </c>
      <c r="G14" s="4" t="str">
        <f>IFERROR(VLOOKUP($E$4,Sheet5!$A$4:$M$63,4,FALSE),"")</f>
        <v/>
      </c>
      <c r="H14" s="217" t="str">
        <f>IFERROR(VLOOKUP($H$4,Sheet5!$A$4:$M$63,2,FALSE),"")</f>
        <v/>
      </c>
      <c r="I14" s="218">
        <f>IFERROR(VLOOKUP($H$4,Sheet5!$A$4:$M$63,3,FALSE),"")</f>
        <v>0</v>
      </c>
      <c r="J14" s="4" t="str">
        <f>IFERROR(VLOOKUP($H$4,Sheet5!$A$4:$M$63,4,FALSE),"")</f>
        <v/>
      </c>
      <c r="K14" s="217" t="str">
        <f>IFERROR(VLOOKUP($K$4,Sheet5!$A$4:$M$63,2,FALSE),"")</f>
        <v/>
      </c>
      <c r="L14" s="218">
        <f>IFERROR(VLOOKUP($K$4,Sheet5!$A$4:$M$63,3,FALSE),"")</f>
        <v>0</v>
      </c>
      <c r="M14" s="4" t="str">
        <f>IFERROR(VLOOKUP($K$4,Sheet5!$A$4:$M$63,4,FALSE),"")</f>
        <v/>
      </c>
      <c r="N14" s="217" t="str">
        <f>IFERROR(VLOOKUP($N$4,Sheet5!$A$4:$M$63,2,FALSE),"")</f>
        <v/>
      </c>
      <c r="O14" s="218">
        <f>IFERROR(VLOOKUP($N$4,Sheet5!$A$4:$M$63,3,FALSE),"")</f>
        <v>0</v>
      </c>
      <c r="P14" s="4" t="str">
        <f>IFERROR(VLOOKUP($N$4,Sheet5!$A$4:$M$63,4,FALSE),"")</f>
        <v/>
      </c>
      <c r="Q14" s="217" t="str">
        <f>IFERROR(VLOOKUP($Q$4,Sheet5!$A$4:$M$63,2,FALSE),"")</f>
        <v/>
      </c>
      <c r="R14" s="218">
        <f>IFERROR(VLOOKUP($Q$4,Sheet5!$A$4:$M$63,3,FALSE),"")</f>
        <v>0</v>
      </c>
      <c r="S14" s="4" t="str">
        <f>IFERROR(VLOOKUP($Q$4,Sheet5!$A$4:$M$63,4,FALSE),"")</f>
        <v/>
      </c>
      <c r="T14" s="217" t="str">
        <f>IFERROR(VLOOKUP($T$4,Sheet5!$A$4:$M$63,2,FALSE),"")</f>
        <v/>
      </c>
      <c r="U14" s="218">
        <f>IFERROR(VLOOKUP($T$4,Sheet5!$A$4:$M$63,3,FALSE),"")</f>
        <v>0</v>
      </c>
      <c r="V14" s="4" t="str">
        <f>IFERROR(VLOOKUP($T$4,Sheet5!$A$4:$M$63,4,FALSE),"")</f>
        <v/>
      </c>
    </row>
    <row r="15" spans="1:24" ht="15.95" customHeight="1" x14ac:dyDescent="0.25">
      <c r="A15" s="31" t="str">
        <f>IF(DevMode!B13="","Unused",DevMode!B13)</f>
        <v>ADNCO (FC-481)</v>
      </c>
      <c r="B15" s="217" t="str">
        <f>IFERROR(VLOOKUP($B$4,Sheet5!$A$4:$M$63,5,FALSE),"")</f>
        <v/>
      </c>
      <c r="C15" s="218">
        <f>IFERROR(VLOOKUP($B$4,Sheet5!$A$4:$M$63,6,FALSE),"")</f>
        <v>0</v>
      </c>
      <c r="D15" s="4" t="str">
        <f>IFERROR(VLOOKUP($B$4,Sheet5!$A$4:$M$63,7,FALSE),"")</f>
        <v/>
      </c>
      <c r="E15" s="217" t="str">
        <f>IFERROR(VLOOKUP($E$4,Sheet5!$A$4:$M$63,5,FALSE),"")</f>
        <v/>
      </c>
      <c r="F15" s="218">
        <f>IFERROR(VLOOKUP($E$4,Sheet5!$A$4:$M$63,6,FALSE),"")</f>
        <v>0</v>
      </c>
      <c r="G15" s="4" t="str">
        <f>IFERROR(VLOOKUP($E$4,Sheet5!$A$4:$M$63,7,FALSE),"")</f>
        <v/>
      </c>
      <c r="H15" s="217" t="str">
        <f>IFERROR(VLOOKUP($H$4,Sheet5!$A$4:$M$63,5,FALSE),"")</f>
        <v/>
      </c>
      <c r="I15" s="218">
        <f>IFERROR(VLOOKUP($H$4,Sheet5!$A$4:$M$63,6,FALSE),"")</f>
        <v>0</v>
      </c>
      <c r="J15" s="4" t="str">
        <f>IFERROR(VLOOKUP($H$4,Sheet5!$A$4:$M$63,7,FALSE),"")</f>
        <v/>
      </c>
      <c r="K15" s="217" t="str">
        <f>IFERROR(VLOOKUP($K$4,Sheet5!$A$4:$M$63,5,FALSE),"")</f>
        <v/>
      </c>
      <c r="L15" s="218">
        <f>IFERROR(VLOOKUP($K$4,Sheet5!$A$4:$M$63,6,FALSE),"")</f>
        <v>0</v>
      </c>
      <c r="M15" s="4" t="str">
        <f>IFERROR(VLOOKUP($K$4,Sheet5!$A$4:$M$63,7,FALSE),"")</f>
        <v/>
      </c>
      <c r="N15" s="217" t="str">
        <f>IFERROR(VLOOKUP($N$4,Sheet5!$A$4:$M$63,5,FALSE),"")</f>
        <v/>
      </c>
      <c r="O15" s="218">
        <f>IFERROR(VLOOKUP($N$4,Sheet5!$A$4:$M$63,6,FALSE),"")</f>
        <v>0</v>
      </c>
      <c r="P15" s="4" t="str">
        <f>IFERROR(VLOOKUP($N$4,Sheet5!$A$4:$M$63,7,FALSE),"")</f>
        <v/>
      </c>
      <c r="Q15" s="217" t="str">
        <f>IFERROR(VLOOKUP($Q$4,Sheet5!$A$4:$M$63,5,FALSE),"")</f>
        <v/>
      </c>
      <c r="R15" s="218">
        <f>IFERROR(VLOOKUP($Q$4,Sheet5!$A$4:$M$63,6,FALSE),"")</f>
        <v>0</v>
      </c>
      <c r="S15" s="4" t="str">
        <f>IFERROR(VLOOKUP($Q$4,Sheet5!$A$4:$M$63,7,FALSE),"")</f>
        <v/>
      </c>
      <c r="T15" s="217" t="str">
        <f>IFERROR(VLOOKUP($T$4,Sheet5!$A$4:$M$63,5,FALSE),"")</f>
        <v/>
      </c>
      <c r="U15" s="218">
        <f>IFERROR(VLOOKUP($T$4,Sheet5!$A$4:$M$63,6,FALSE),"")</f>
        <v>0</v>
      </c>
      <c r="V15" s="4" t="str">
        <f>IFERROR(VLOOKUP($T$4,Sheet5!$A$4:$M$63,7,FALSE),"")</f>
        <v/>
      </c>
    </row>
    <row r="16" spans="1:24" ht="15.95" customHeight="1" x14ac:dyDescent="0.25">
      <c r="A16" s="31" t="str">
        <f>IF(DevMode!B14="","Unused",DevMode!B14)</f>
        <v>Rover 1 (FC-481)</v>
      </c>
      <c r="B16" s="217" t="str">
        <f>IFERROR(VLOOKUP($B$4,Sheet5!$A$4:$M$63,8,FALSE),"")</f>
        <v/>
      </c>
      <c r="C16" s="218">
        <f>IFERROR(VLOOKUP($B$4,Sheet5!$A$4:$M$63,9,FALSE),"")</f>
        <v>0</v>
      </c>
      <c r="D16" s="4" t="str">
        <f>IFERROR(VLOOKUP($B$4,Sheet5!$A$4:$M$63,10,FALSE),"")</f>
        <v/>
      </c>
      <c r="E16" s="217" t="str">
        <f>IFERROR(VLOOKUP($E$4,Sheet5!$A$4:$M$63,8,FALSE),"")</f>
        <v/>
      </c>
      <c r="F16" s="218">
        <f>IFERROR(VLOOKUP($E$4,Sheet5!$A$4:$M$63,9,FALSE),"")</f>
        <v>0</v>
      </c>
      <c r="G16" s="4" t="str">
        <f>IFERROR(VLOOKUP($E$4,Sheet5!$A$4:$M$63,10,FALSE),"")</f>
        <v/>
      </c>
      <c r="H16" s="217" t="str">
        <f>IFERROR(VLOOKUP($H$4,Sheet5!$A$4:$M$63,8,FALSE),"")</f>
        <v/>
      </c>
      <c r="I16" s="218">
        <f>IFERROR(VLOOKUP($H$4,Sheet5!$A$4:$M$63,9,FALSE),"")</f>
        <v>0</v>
      </c>
      <c r="J16" s="4" t="str">
        <f>IFERROR(VLOOKUP($H$4,Sheet5!$A$4:$M$63,10,FALSE),"")</f>
        <v/>
      </c>
      <c r="K16" s="217" t="str">
        <f>IFERROR(VLOOKUP($K$4,Sheet5!$A$4:$M$63,8,FALSE),"")</f>
        <v/>
      </c>
      <c r="L16" s="218">
        <f>IFERROR(VLOOKUP($K$4,Sheet5!$A$4:$M$63,9,FALSE),"")</f>
        <v>0</v>
      </c>
      <c r="M16" s="4" t="str">
        <f>IFERROR(VLOOKUP($K$4,Sheet5!$A$4:$M$63,10,FALSE),"")</f>
        <v/>
      </c>
      <c r="N16" s="217" t="str">
        <f>IFERROR(VLOOKUP($N$4,Sheet5!$A$4:$M$63,8,FALSE),"")</f>
        <v/>
      </c>
      <c r="O16" s="218">
        <f>IFERROR(VLOOKUP($N$4,Sheet5!$A$4:$M$63,9,FALSE),"")</f>
        <v>0</v>
      </c>
      <c r="P16" s="4" t="str">
        <f>IFERROR(VLOOKUP($N$4,Sheet5!$A$4:$M$63,10,FALSE),"")</f>
        <v/>
      </c>
      <c r="Q16" s="217" t="str">
        <f>IFERROR(VLOOKUP($Q$4,Sheet5!$A$4:$M$63,8,FALSE),"")</f>
        <v/>
      </c>
      <c r="R16" s="218">
        <f>IFERROR(VLOOKUP($Q$4,Sheet5!$A$4:$M$63,9,FALSE),"")</f>
        <v>0</v>
      </c>
      <c r="S16" s="4" t="str">
        <f>IFERROR(VLOOKUP($Q$4,Sheet5!$A$4:$M$63,10,FALSE),"")</f>
        <v/>
      </c>
      <c r="T16" s="217" t="str">
        <f>IFERROR(VLOOKUP($T$4,Sheet5!$A$4:$M$63,8,FALSE),"")</f>
        <v/>
      </c>
      <c r="U16" s="218">
        <f>IFERROR(VLOOKUP($T$4,Sheet5!$A$4:$M$63,9,FALSE),"")</f>
        <v>0</v>
      </c>
      <c r="V16" s="4" t="str">
        <f>IFERROR(VLOOKUP($T$4,Sheet5!$A$4:$M$63,10,FALSE),"")</f>
        <v/>
      </c>
    </row>
    <row r="17" spans="1:22" ht="15.95" customHeight="1" thickBot="1" x14ac:dyDescent="0.3">
      <c r="A17" s="31" t="str">
        <f>IF(DevMode!B15="","Unused",DevMode!B15)</f>
        <v>Rover 2 (FC-481)</v>
      </c>
      <c r="B17" s="219" t="str">
        <f>IFERROR(VLOOKUP($B$4,Sheet5!$A$4:$M$63,11,FALSE),"")</f>
        <v/>
      </c>
      <c r="C17" s="220">
        <f>IFERROR(VLOOKUP($B$4,Sheet5!$A$4:$M$63,12,FALSE),"")</f>
        <v>0</v>
      </c>
      <c r="D17" s="5" t="str">
        <f>IFERROR(VLOOKUP($B$4,Sheet5!$A$4:$M$63,13,FALSE),"")</f>
        <v/>
      </c>
      <c r="E17" s="219" t="str">
        <f>IFERROR(VLOOKUP($E$4,Sheet5!$A$4:$M$63,11,FALSE),"")</f>
        <v/>
      </c>
      <c r="F17" s="220">
        <f>IFERROR(VLOOKUP($E$4,Sheet5!$A$4:$M$63,12,FALSE),"")</f>
        <v>0</v>
      </c>
      <c r="G17" s="5" t="str">
        <f>IFERROR(VLOOKUP($E$4,Sheet5!$A$4:$M$63,13,FALSE),"")</f>
        <v/>
      </c>
      <c r="H17" s="219" t="str">
        <f>IFERROR(VLOOKUP($H$4,Sheet5!$A$4:$M$63,11,FALSE),"")</f>
        <v/>
      </c>
      <c r="I17" s="220">
        <f>IFERROR(VLOOKUP($H$4,Sheet5!$A$4:$M$63,12,FALSE),"")</f>
        <v>0</v>
      </c>
      <c r="J17" s="5" t="str">
        <f>IFERROR(VLOOKUP($H$4,Sheet5!$A$4:$M$63,13,FALSE),"")</f>
        <v/>
      </c>
      <c r="K17" s="219" t="str">
        <f>IFERROR(VLOOKUP($K$4,Sheet5!$A$4:$M$63,11,FALSE),"")</f>
        <v/>
      </c>
      <c r="L17" s="220">
        <f>IFERROR(VLOOKUP($K$4,Sheet5!$A$4:$M$63,12,FALSE),"")</f>
        <v>0</v>
      </c>
      <c r="M17" s="5" t="str">
        <f>IFERROR(VLOOKUP($K$4,Sheet5!$A$4:$M$63,13,FALSE),"")</f>
        <v/>
      </c>
      <c r="N17" s="219" t="str">
        <f>IFERROR(VLOOKUP($N$4,Sheet5!$A$4:$M$63,11,FALSE),"")</f>
        <v/>
      </c>
      <c r="O17" s="220">
        <f>IFERROR(VLOOKUP($N$4,Sheet5!$A$4:$M$63,12,FALSE),"")</f>
        <v>0</v>
      </c>
      <c r="P17" s="5" t="str">
        <f>IFERROR(VLOOKUP($N$4,Sheet5!$A$4:$M$63,13,FALSE),"")</f>
        <v/>
      </c>
      <c r="Q17" s="219" t="str">
        <f>IFERROR(VLOOKUP($Q$4,Sheet5!$A$4:$M$63,11,FALSE),"")</f>
        <v/>
      </c>
      <c r="R17" s="220">
        <f>IFERROR(VLOOKUP($Q$4,Sheet5!$A$4:$M$63,12,FALSE),"")</f>
        <v>0</v>
      </c>
      <c r="S17" s="5" t="str">
        <f>IFERROR(VLOOKUP($Q$4,Sheet5!$A$4:$M$63,13,FALSE),"")</f>
        <v/>
      </c>
      <c r="T17" s="219" t="str">
        <f>IFERROR(VLOOKUP($T$4,Sheet5!$A$4:$M$63,11,FALSE),"")</f>
        <v/>
      </c>
      <c r="U17" s="220">
        <f>IFERROR(VLOOKUP($T$4,Sheet5!$A$4:$M$63,12,FALSE),"")</f>
        <v>0</v>
      </c>
      <c r="V17" s="5" t="str">
        <f>IFERROR(VLOOKUP($T$4,Sheet5!$A$4:$M$63,13,FALSE),"")</f>
        <v/>
      </c>
    </row>
    <row r="18" spans="1:22" ht="15.95" customHeight="1" thickBot="1" x14ac:dyDescent="0.3">
      <c r="A18" s="1"/>
      <c r="B18" s="2" t="str">
        <f>IFERROR(T4+1,"")</f>
        <v/>
      </c>
      <c r="C18" s="351"/>
      <c r="D18" s="352"/>
      <c r="E18" s="2" t="str">
        <f>IFERROR(B18+1,"")</f>
        <v/>
      </c>
      <c r="F18" s="351"/>
      <c r="G18" s="352"/>
      <c r="H18" s="2" t="str">
        <f>IFERROR(E18+1,"")</f>
        <v/>
      </c>
      <c r="I18" s="351"/>
      <c r="J18" s="352"/>
      <c r="K18" s="2" t="str">
        <f>IFERROR(H18+1,"")</f>
        <v/>
      </c>
      <c r="L18" s="351"/>
      <c r="M18" s="352"/>
      <c r="N18" s="2" t="str">
        <f>IFERROR(K18+1,"")</f>
        <v/>
      </c>
      <c r="O18" s="351"/>
      <c r="P18" s="352"/>
      <c r="Q18" s="2" t="str">
        <f>IFERROR(N18+1,"")</f>
        <v/>
      </c>
      <c r="R18" s="351"/>
      <c r="S18" s="352"/>
      <c r="T18" s="2" t="str">
        <f>IFERROR(Q18+1,"")</f>
        <v/>
      </c>
      <c r="U18" s="351"/>
      <c r="V18" s="352"/>
    </row>
    <row r="19" spans="1:22" ht="15.95" customHeight="1" x14ac:dyDescent="0.25">
      <c r="A19" s="31" t="str">
        <f>IF(DevMode!B3="","Unused",DevMode!B3)</f>
        <v>OOD (FC-300)</v>
      </c>
      <c r="B19" s="215" t="str">
        <f>IFERROR(VLOOKUP($B$18,Sheet2!$A$4:$J$63,2,FALSE),"")</f>
        <v/>
      </c>
      <c r="C19" s="216">
        <f>IFERROR(VLOOKUP($B$18,Sheet2!$A$4:$J$63,3,FALSE),"")</f>
        <v>0</v>
      </c>
      <c r="D19" s="3">
        <f>IFERROR(VLOOKUP($B$18,Sheet2!$A$4:$J$63,4,FALSE),"")</f>
        <v>0</v>
      </c>
      <c r="E19" s="215" t="str">
        <f>IFERROR(VLOOKUP($E$18,Sheet2!$A$4:$J$63,2,FALSE),"")</f>
        <v/>
      </c>
      <c r="F19" s="216">
        <f>IFERROR(VLOOKUP($E$18,Sheet2!$A$4:$J$63,3,FALSE),"")</f>
        <v>0</v>
      </c>
      <c r="G19" s="3">
        <f>IFERROR(VLOOKUP($E$18,Sheet2!$A$4:$J$63,4,FALSE),"")</f>
        <v>0</v>
      </c>
      <c r="H19" s="215" t="str">
        <f>IFERROR(VLOOKUP($H$18,Sheet2!$A$4:$J$63,2,FALSE),"")</f>
        <v/>
      </c>
      <c r="I19" s="216">
        <f>IFERROR(VLOOKUP($H$18,Sheet2!$A$4:$J$63,3,FALSE),"")</f>
        <v>0</v>
      </c>
      <c r="J19" s="3">
        <f>IFERROR(VLOOKUP($H$18,Sheet2!$A$4:$J$63,4,FALSE),"")</f>
        <v>0</v>
      </c>
      <c r="K19" s="215" t="str">
        <f>IFERROR(VLOOKUP($K$18,Sheet2!$A$4:$J$63,2,FALSE),"")</f>
        <v/>
      </c>
      <c r="L19" s="216">
        <f>IFERROR(VLOOKUP($K$18,Sheet2!$A$4:$J$63,3,FALSE),"")</f>
        <v>0</v>
      </c>
      <c r="M19" s="3">
        <f>IFERROR(VLOOKUP($K$18,Sheet2!$A$4:$J$63,4,FALSE),"")</f>
        <v>0</v>
      </c>
      <c r="N19" s="215" t="str">
        <f>IFERROR(VLOOKUP($N$18,Sheet2!$A$4:$J$63,2,FALSE),"")</f>
        <v/>
      </c>
      <c r="O19" s="216">
        <f>IFERROR(VLOOKUP($N$18,Sheet2!$A$4:$J$63,3,FALSE),"")</f>
        <v>0</v>
      </c>
      <c r="P19" s="3">
        <f>IFERROR(VLOOKUP($N$18,Sheet2!$A$4:$J$63,4,FALSE),"")</f>
        <v>0</v>
      </c>
      <c r="Q19" s="215" t="str">
        <f>IFERROR(VLOOKUP($Q$18,Sheet2!$A$4:$J$63,2,FALSE),"")</f>
        <v/>
      </c>
      <c r="R19" s="216">
        <f>IFERROR(VLOOKUP($Q$18,Sheet2!$A$4:$J$63,3,FALSE),"")</f>
        <v>0</v>
      </c>
      <c r="S19" s="3">
        <f>IFERROR(VLOOKUP($Q$18,Sheet2!$A$4:$J$63,4,FALSE),"")</f>
        <v>0</v>
      </c>
      <c r="T19" s="215" t="str">
        <f>IFERROR(VLOOKUP($T$18,Sheet2!$A$4:$J$63,2,FALSE),"")</f>
        <v/>
      </c>
      <c r="U19" s="216">
        <f>IFERROR(VLOOKUP($T$18,Sheet2!$A$4:$J$63,3,FALSE),"")</f>
        <v>0</v>
      </c>
      <c r="V19" s="3">
        <f>IFERROR(VLOOKUP($T$18,Sheet2!$A$4:$J$63,4,FALSE),"")</f>
        <v>0</v>
      </c>
    </row>
    <row r="20" spans="1:22" ht="15.95" customHeight="1" x14ac:dyDescent="0.25">
      <c r="A20" s="31" t="str">
        <f>IF(DevMode!B4="","Unused",DevMode!B4)</f>
        <v>AOOD (FC-300)</v>
      </c>
      <c r="B20" s="217" t="str">
        <f>IFERROR(VLOOKUP($B$18,Sheet2!$A$4:$J$63,5,FALSE),"")</f>
        <v/>
      </c>
      <c r="C20" s="218">
        <f>IFERROR(VLOOKUP($B$18,Sheet2!$A$4:$J$63,6,FALSE),"")</f>
        <v>0</v>
      </c>
      <c r="D20" s="4" t="str">
        <f>IFERROR(VLOOKUP($B$18,Sheet2!$A$4:$J$63,7,FALSE),"")</f>
        <v/>
      </c>
      <c r="E20" s="217" t="str">
        <f>IFERROR(VLOOKUP($E$18,Sheet2!$A$4:$J$63,5,FALSE),"")</f>
        <v/>
      </c>
      <c r="F20" s="218">
        <f>IFERROR(VLOOKUP($E$18,Sheet2!$A$4:$J$63,6,FALSE),"")</f>
        <v>0</v>
      </c>
      <c r="G20" s="4" t="str">
        <f>IFERROR(VLOOKUP($E$18,Sheet2!$A$4:$J$63,7,FALSE),"")</f>
        <v/>
      </c>
      <c r="H20" s="217" t="str">
        <f>IFERROR(VLOOKUP($H$18,Sheet2!$A$4:$J$63,5,FALSE),"")</f>
        <v/>
      </c>
      <c r="I20" s="218">
        <f>IFERROR(VLOOKUP($H$18,Sheet2!$A$4:$J$63,6,FALSE),"")</f>
        <v>0</v>
      </c>
      <c r="J20" s="4" t="str">
        <f>IFERROR(VLOOKUP($H$18,Sheet2!$A$4:$J$63,7,FALSE),"")</f>
        <v/>
      </c>
      <c r="K20" s="217" t="str">
        <f>IFERROR(VLOOKUP($K$18,Sheet2!$A$4:$J$63,5,FALSE),"")</f>
        <v/>
      </c>
      <c r="L20" s="218">
        <f>IFERROR(VLOOKUP($K$18,Sheet2!$A$4:$J$63,6,FALSE),"")</f>
        <v>0</v>
      </c>
      <c r="M20" s="4" t="str">
        <f>IFERROR(VLOOKUP($K$18,Sheet2!$A$4:$J$63,7,FALSE),"")</f>
        <v/>
      </c>
      <c r="N20" s="217" t="str">
        <f>IFERROR(VLOOKUP($N$18,Sheet2!$A$4:$J$63,5,FALSE),"")</f>
        <v/>
      </c>
      <c r="O20" s="218">
        <f>IFERROR(VLOOKUP($N$18,Sheet2!$A$4:$J$63,6,FALSE),"")</f>
        <v>0</v>
      </c>
      <c r="P20" s="4" t="str">
        <f>IFERROR(VLOOKUP($N$18,Sheet2!$A$4:$J$63,7,FALSE),"")</f>
        <v/>
      </c>
      <c r="Q20" s="217" t="str">
        <f>IFERROR(VLOOKUP($Q$18,Sheet2!$A$4:$J$63,5,FALSE),"")</f>
        <v/>
      </c>
      <c r="R20" s="218">
        <f>IFERROR(VLOOKUP($Q$18,Sheet2!$A$4:$J$63,6,FALSE),"")</f>
        <v>0</v>
      </c>
      <c r="S20" s="4" t="str">
        <f>IFERROR(VLOOKUP($Q$18,Sheet2!$A$4:$J$63,7,FALSE),"")</f>
        <v/>
      </c>
      <c r="T20" s="217" t="str">
        <f>IFERROR(VLOOKUP($T$18,Sheet2!$A$4:$J$63,5,FALSE),"")</f>
        <v/>
      </c>
      <c r="U20" s="218">
        <f>IFERROR(VLOOKUP($T$18,Sheet2!$A$4:$J$63,6,FALSE),"")</f>
        <v>0</v>
      </c>
      <c r="V20" s="4" t="str">
        <f>IFERROR(VLOOKUP($T$18,Sheet2!$A$4:$J$63,7,FALSE),"")</f>
        <v/>
      </c>
    </row>
    <row r="21" spans="1:22" ht="15.95" customHeight="1" x14ac:dyDescent="0.25">
      <c r="A21" s="31" t="str">
        <f>IF(DevMode!B5="","Unused",DevMode!B5)</f>
        <v>Duty Driver (FC-300)</v>
      </c>
      <c r="B21" s="217" t="str">
        <f>IFERROR(VLOOKUP($B$18,Sheet2!$A$4:$J$63,8,FALSE),"")</f>
        <v/>
      </c>
      <c r="C21" s="218">
        <f>IFERROR(VLOOKUP($B$18,Sheet2!$A$4:$J$63,9,FALSE),"")</f>
        <v>0</v>
      </c>
      <c r="D21" s="4" t="str">
        <f>IFERROR(VLOOKUP($B$18,Sheet2!$A$4:$J$63,10,FALSE),"")</f>
        <v/>
      </c>
      <c r="E21" s="217" t="str">
        <f>IFERROR(VLOOKUP($E$18,Sheet2!$A$4:$J$63,8,FALSE),"")</f>
        <v/>
      </c>
      <c r="F21" s="218">
        <f>IFERROR(VLOOKUP($E$18,Sheet2!$A$4:$J$63,9,FALSE),"")</f>
        <v>0</v>
      </c>
      <c r="G21" s="4" t="str">
        <f>IFERROR(VLOOKUP($E$18,Sheet2!$A$4:$J$63,10,FALSE),"")</f>
        <v/>
      </c>
      <c r="H21" s="217" t="str">
        <f>IFERROR(VLOOKUP($H$18,Sheet2!$A$4:$J$63,8,FALSE),"")</f>
        <v/>
      </c>
      <c r="I21" s="218">
        <f>IFERROR(VLOOKUP($H$18,Sheet2!$A$4:$J$63,9,FALSE),"")</f>
        <v>0</v>
      </c>
      <c r="J21" s="4" t="str">
        <f>IFERROR(VLOOKUP($H$18,Sheet2!$A$4:$J$63,10,FALSE),"")</f>
        <v/>
      </c>
      <c r="K21" s="217" t="str">
        <f>IFERROR(VLOOKUP($K$18,Sheet2!$A$4:$J$63,8,FALSE),"")</f>
        <v/>
      </c>
      <c r="L21" s="218">
        <f>IFERROR(VLOOKUP($K$18,Sheet2!$A$4:$J$63,9,FALSE),"")</f>
        <v>0</v>
      </c>
      <c r="M21" s="4" t="str">
        <f>IFERROR(VLOOKUP($K$18,Sheet2!$A$4:$J$63,10,FALSE),"")</f>
        <v/>
      </c>
      <c r="N21" s="217" t="str">
        <f>IFERROR(VLOOKUP($N$18,Sheet2!$A$4:$J$63,8,FALSE),"")</f>
        <v/>
      </c>
      <c r="O21" s="218">
        <f>IFERROR(VLOOKUP($N$18,Sheet2!$A$4:$J$63,9,FALSE),"")</f>
        <v>0</v>
      </c>
      <c r="P21" s="4" t="str">
        <f>IFERROR(VLOOKUP($N$18,Sheet2!$A$4:$J$63,10,FALSE),"")</f>
        <v/>
      </c>
      <c r="Q21" s="217" t="str">
        <f>IFERROR(VLOOKUP($Q$18,Sheet2!$A$4:$J$63,8,FALSE),"")</f>
        <v/>
      </c>
      <c r="R21" s="218">
        <f>IFERROR(VLOOKUP($Q$18,Sheet2!$A$4:$J$63,9,FALSE),"")</f>
        <v>0</v>
      </c>
      <c r="S21" s="4" t="str">
        <f>IFERROR(VLOOKUP($Q$18,Sheet2!$A$4:$J$63,10,FALSE),"")</f>
        <v/>
      </c>
      <c r="T21" s="217" t="str">
        <f>IFERROR(VLOOKUP($T$18,Sheet2!$A$4:$J$63,8,FALSE),"")</f>
        <v/>
      </c>
      <c r="U21" s="218">
        <f>IFERROR(VLOOKUP($T$18,Sheet2!$A$4:$J$63,9,FALSE),"")</f>
        <v>0</v>
      </c>
      <c r="V21" s="4" t="str">
        <f>IFERROR(VLOOKUP($T$18,Sheet2!$A$4:$J$63,10,FALSE),"")</f>
        <v/>
      </c>
    </row>
    <row r="22" spans="1:22" ht="15.95" customHeight="1" x14ac:dyDescent="0.25">
      <c r="A22" s="31" t="str">
        <f>IF(DevMode!B6="","Unused",DevMode!B6)</f>
        <v>DNCO (FC-370)</v>
      </c>
      <c r="B22" s="217" t="str">
        <f>IFERROR(VLOOKUP($B$18,Sheet4!$A$4:$S$65,2,FALSE),"")</f>
        <v/>
      </c>
      <c r="C22" s="218">
        <f>IFERROR(VLOOKUP($B$18,Sheet4!$A$4:$S$65,3,FALSE),"")</f>
        <v>0</v>
      </c>
      <c r="D22" s="4" t="str">
        <f>IFERROR(VLOOKUP($B$18,Sheet4!$A$4:$S$65,4,FALSE),"")</f>
        <v/>
      </c>
      <c r="E22" s="217" t="str">
        <f>IFERROR(VLOOKUP($E$18,Sheet4!$A$4:$S$65,2,FALSE),"")</f>
        <v/>
      </c>
      <c r="F22" s="218">
        <f>IFERROR(VLOOKUP($E$18,Sheet4!$A$4:$S$65,3,FALSE),"")</f>
        <v>0</v>
      </c>
      <c r="G22" s="4" t="str">
        <f>IFERROR(VLOOKUP($E$18,Sheet4!$A$4:$S$65,4,FALSE),"")</f>
        <v/>
      </c>
      <c r="H22" s="217" t="str">
        <f>IFERROR(VLOOKUP($H$18,Sheet4!$A$4:$S$65,2,FALSE),"")</f>
        <v/>
      </c>
      <c r="I22" s="218">
        <f>IFERROR(VLOOKUP($H$18,Sheet4!$A$4:$S$65,3,FALSE),"")</f>
        <v>0</v>
      </c>
      <c r="J22" s="4" t="str">
        <f>IFERROR(VLOOKUP($H$18,Sheet4!$A$4:$S$65,4,FALSE),"")</f>
        <v/>
      </c>
      <c r="K22" s="217" t="str">
        <f>IFERROR(VLOOKUP($K$18,Sheet4!$A$4:$S$65,2,FALSE),"")</f>
        <v/>
      </c>
      <c r="L22" s="218">
        <f>IFERROR(VLOOKUP($K$18,Sheet4!$A$4:$S$65,3,FALSE),"")</f>
        <v>0</v>
      </c>
      <c r="M22" s="4" t="str">
        <f>IFERROR(VLOOKUP($K$18,Sheet4!$A$4:$S$65,4,FALSE),"")</f>
        <v/>
      </c>
      <c r="N22" s="217" t="str">
        <f>IFERROR(VLOOKUP($N$18,Sheet4!$A$4:$S$65,2,FALSE),"")</f>
        <v/>
      </c>
      <c r="O22" s="218">
        <f>IFERROR(VLOOKUP($N$18,Sheet4!$A$4:$S$65,3,FALSE),"")</f>
        <v>0</v>
      </c>
      <c r="P22" s="4" t="str">
        <f>IFERROR(VLOOKUP($N$18,Sheet4!$A$4:$S$65,4,FALSE),"")</f>
        <v/>
      </c>
      <c r="Q22" s="217" t="str">
        <f>IFERROR(VLOOKUP($Q$18,Sheet4!$A$4:$S$65,2,FALSE),"")</f>
        <v/>
      </c>
      <c r="R22" s="218">
        <f>IFERROR(VLOOKUP($Q$18,Sheet4!$A$4:$S$65,3,FALSE),"")</f>
        <v>0</v>
      </c>
      <c r="S22" s="4" t="str">
        <f>IFERROR(VLOOKUP($Q$18,Sheet4!$A$4:$S$65,4,FALSE),"")</f>
        <v/>
      </c>
      <c r="T22" s="217" t="str">
        <f>IFERROR(VLOOKUP($T$18,Sheet4!$A$4:$S$65,2,FALSE),"")</f>
        <v/>
      </c>
      <c r="U22" s="218">
        <f>IFERROR(VLOOKUP($T$18,Sheet4!$A$4:$S$65,3,FALSE),"")</f>
        <v>0</v>
      </c>
      <c r="V22" s="4" t="str">
        <f>IFERROR(VLOOKUP($T$18,Sheet4!$A$4:$S$65,4,FALSE),"")</f>
        <v/>
      </c>
    </row>
    <row r="23" spans="1:22" ht="15.95" customHeight="1" x14ac:dyDescent="0.25">
      <c r="A23" s="31" t="str">
        <f>IF(DevMode!B7="","Unused",DevMode!B7)</f>
        <v>ADNCO (FC-370)</v>
      </c>
      <c r="B23" s="217" t="str">
        <f>IFERROR(VLOOKUP($B$18,Sheet4!$A$4:$S$65,5,FALSE),"")</f>
        <v/>
      </c>
      <c r="C23" s="218">
        <f>IFERROR(VLOOKUP($B$18,Sheet4!$A$4:$S$65,6,FALSE),"")</f>
        <v>0</v>
      </c>
      <c r="D23" s="4" t="str">
        <f>IFERROR(VLOOKUP($B$18,Sheet4!$A$4:$S$65,7,FALSE),"")</f>
        <v/>
      </c>
      <c r="E23" s="217" t="str">
        <f>IFERROR(VLOOKUP($E$18,Sheet4!$A$4:$S$65,5,FALSE),"")</f>
        <v/>
      </c>
      <c r="F23" s="218">
        <f>IFERROR(VLOOKUP($E$18,Sheet4!$A$4:$S$65,6,FALSE),"")</f>
        <v>0</v>
      </c>
      <c r="G23" s="4" t="str">
        <f>IFERROR(VLOOKUP($E$18,Sheet4!$A$4:$S$65,7,FALSE),"")</f>
        <v/>
      </c>
      <c r="H23" s="217" t="str">
        <f>IFERROR(VLOOKUP($H$18,Sheet4!$A$4:$S$65,5,FALSE),"")</f>
        <v/>
      </c>
      <c r="I23" s="218">
        <f>IFERROR(VLOOKUP($H$18,Sheet4!$A$4:$S$65,6,FALSE),"")</f>
        <v>0</v>
      </c>
      <c r="J23" s="4" t="str">
        <f>IFERROR(VLOOKUP($H$18,Sheet4!$A$4:$S$65,7,FALSE),"")</f>
        <v/>
      </c>
      <c r="K23" s="217" t="str">
        <f>IFERROR(VLOOKUP($K$18,Sheet4!$A$4:$S$65,5,FALSE),"")</f>
        <v/>
      </c>
      <c r="L23" s="218">
        <f>IFERROR(VLOOKUP($K$18,Sheet4!$A$4:$S$65,6,FALSE),"")</f>
        <v>0</v>
      </c>
      <c r="M23" s="4" t="str">
        <f>IFERROR(VLOOKUP($K$18,Sheet4!$A$4:$S$65,7,FALSE),"")</f>
        <v/>
      </c>
      <c r="N23" s="217" t="str">
        <f>IFERROR(VLOOKUP($N$18,Sheet4!$A$4:$S$65,5,FALSE),"")</f>
        <v/>
      </c>
      <c r="O23" s="218">
        <f>IFERROR(VLOOKUP($N$18,Sheet4!$A$4:$S$65,6,FALSE),"")</f>
        <v>0</v>
      </c>
      <c r="P23" s="4" t="str">
        <f>IFERROR(VLOOKUP($N$18,Sheet4!$A$4:$S$65,7,FALSE),"")</f>
        <v/>
      </c>
      <c r="Q23" s="217" t="str">
        <f>IFERROR(VLOOKUP($Q$18,Sheet4!$A$4:$S$65,5,FALSE),"")</f>
        <v/>
      </c>
      <c r="R23" s="218">
        <f>IFERROR(VLOOKUP($Q$18,Sheet4!$A$4:$S$65,6,FALSE),"")</f>
        <v>0</v>
      </c>
      <c r="S23" s="4" t="str">
        <f>IFERROR(VLOOKUP($Q$18,Sheet4!$A$4:$S$65,7,FALSE),"")</f>
        <v/>
      </c>
      <c r="T23" s="217" t="str">
        <f>IFERROR(VLOOKUP($T$18,Sheet4!$A$4:$S$65,5,FALSE),"")</f>
        <v/>
      </c>
      <c r="U23" s="218">
        <f>IFERROR(VLOOKUP($T$18,Sheet4!$A$4:$S$65,6,FALSE),"")</f>
        <v>0</v>
      </c>
      <c r="V23" s="4" t="str">
        <f>IFERROR(VLOOKUP($T$18,Sheet4!$A$4:$S$65,7,FALSE),"")</f>
        <v/>
      </c>
    </row>
    <row r="24" spans="1:22" ht="15.95" customHeight="1" x14ac:dyDescent="0.25">
      <c r="A24" s="31" t="str">
        <f>IF(DevMode!B8="","Unused",DevMode!B8)</f>
        <v>Rover 1 (FC-371)</v>
      </c>
      <c r="B24" s="217" t="str">
        <f>IFERROR(VLOOKUP($B$18,Sheet4!$A$4:$S$65,8,FALSE),"")</f>
        <v/>
      </c>
      <c r="C24" s="218">
        <f>IFERROR(VLOOKUP($B$18,Sheet4!$A$4:$S$65,9,FALSE),"")</f>
        <v>0</v>
      </c>
      <c r="D24" s="4" t="str">
        <f>IFERROR(VLOOKUP($B$18,Sheet4!$A$4:$S$65,10,FALSE),"")</f>
        <v/>
      </c>
      <c r="E24" s="217" t="str">
        <f>IFERROR(VLOOKUP($E$18,Sheet4!$A$4:$S$65,8,FALSE),"")</f>
        <v/>
      </c>
      <c r="F24" s="218">
        <f>IFERROR(VLOOKUP($E$18,Sheet4!$A$4:$S$65,9,FALSE),"")</f>
        <v>0</v>
      </c>
      <c r="G24" s="4" t="str">
        <f>IFERROR(VLOOKUP($E$18,Sheet4!$A$4:$S$65,10,FALSE),"")</f>
        <v/>
      </c>
      <c r="H24" s="217" t="str">
        <f>IFERROR(VLOOKUP($H$18,Sheet4!$A$4:$S$65,8,FALSE),"")</f>
        <v/>
      </c>
      <c r="I24" s="218">
        <f>IFERROR(VLOOKUP($H$18,Sheet4!$A$4:$S$65,9,FALSE),"")</f>
        <v>0</v>
      </c>
      <c r="J24" s="4" t="str">
        <f>IFERROR(VLOOKUP($H$18,Sheet4!$A$4:$S$65,10,FALSE),"")</f>
        <v/>
      </c>
      <c r="K24" s="217" t="str">
        <f>IFERROR(VLOOKUP($K$18,Sheet4!$A$4:$S$65,8,FALSE),"")</f>
        <v/>
      </c>
      <c r="L24" s="218">
        <f>IFERROR(VLOOKUP($K$18,Sheet4!$A$4:$S$65,9,FALSE),"")</f>
        <v>0</v>
      </c>
      <c r="M24" s="4" t="str">
        <f>IFERROR(VLOOKUP($K$18,Sheet4!$A$4:$S$65,10,FALSE),"")</f>
        <v/>
      </c>
      <c r="N24" s="217" t="str">
        <f>IFERROR(VLOOKUP($N$18,Sheet4!$A$4:$S$65,8,FALSE),"")</f>
        <v/>
      </c>
      <c r="O24" s="218">
        <f>IFERROR(VLOOKUP($N$18,Sheet4!$A$4:$S$65,9,FALSE),"")</f>
        <v>0</v>
      </c>
      <c r="P24" s="4" t="str">
        <f>IFERROR(VLOOKUP($N$18,Sheet4!$A$4:$S$65,10,FALSE),"")</f>
        <v/>
      </c>
      <c r="Q24" s="217" t="str">
        <f>IFERROR(VLOOKUP($Q$18,Sheet4!$A$4:$S$65,8,FALSE),"")</f>
        <v/>
      </c>
      <c r="R24" s="218">
        <f>IFERROR(VLOOKUP($Q$18,Sheet4!$A$4:$S$65,9,FALSE),"")</f>
        <v>0</v>
      </c>
      <c r="S24" s="4" t="str">
        <f>IFERROR(VLOOKUP($Q$18,Sheet4!$A$4:$S$65,10,FALSE),"")</f>
        <v/>
      </c>
      <c r="T24" s="217" t="str">
        <f>IFERROR(VLOOKUP($T$18,Sheet4!$A$4:$S$65,8,FALSE),"")</f>
        <v/>
      </c>
      <c r="U24" s="218">
        <f>IFERROR(VLOOKUP($T$18,Sheet4!$A$4:$S$65,9,FALSE),"")</f>
        <v>0</v>
      </c>
      <c r="V24" s="4" t="str">
        <f>IFERROR(VLOOKUP($T$18,Sheet4!$A$4:$S$65,10,FALSE),"")</f>
        <v/>
      </c>
    </row>
    <row r="25" spans="1:22" ht="15.95" customHeight="1" x14ac:dyDescent="0.25">
      <c r="A25" s="31" t="str">
        <f>IF(DevMode!B9="","Unused",DevMode!B9)</f>
        <v>Rover 2 (FC-371)</v>
      </c>
      <c r="B25" s="217" t="str">
        <f>IFERROR(VLOOKUP($B$18,Sheet4!$A$4:$S$65,11,FALSE),"")</f>
        <v/>
      </c>
      <c r="C25" s="218">
        <f>IFERROR(VLOOKUP($B$18,Sheet4!$A$4:$S$65,12,FALSE),"")</f>
        <v>0</v>
      </c>
      <c r="D25" s="4" t="str">
        <f>IFERROR(VLOOKUP($B$18,Sheet4!$A$4:$S$65,13,FALSE),"")</f>
        <v/>
      </c>
      <c r="E25" s="217" t="str">
        <f>IFERROR(VLOOKUP($E$18,Sheet4!$A$4:$S$65,11,FALSE),"")</f>
        <v/>
      </c>
      <c r="F25" s="218">
        <f>IFERROR(VLOOKUP($E$18,Sheet4!$A$4:$S$65,12,FALSE),"")</f>
        <v>0</v>
      </c>
      <c r="G25" s="4" t="str">
        <f>IFERROR(VLOOKUP($E$18,Sheet4!$A$4:$S$65,13,FALSE),"")</f>
        <v/>
      </c>
      <c r="H25" s="217" t="str">
        <f>IFERROR(VLOOKUP($H$18,Sheet4!$A$4:$S$65,11,FALSE),"")</f>
        <v/>
      </c>
      <c r="I25" s="218">
        <f>IFERROR(VLOOKUP($H$18,Sheet4!$A$4:$S$65,12,FALSE),"")</f>
        <v>0</v>
      </c>
      <c r="J25" s="4" t="str">
        <f>IFERROR(VLOOKUP($H$18,Sheet4!$A$4:$S$65,13,FALSE),"")</f>
        <v/>
      </c>
      <c r="K25" s="217" t="str">
        <f>IFERROR(VLOOKUP($K$18,Sheet4!$A$4:$S$65,11,FALSE),"")</f>
        <v/>
      </c>
      <c r="L25" s="218">
        <f>IFERROR(VLOOKUP($K$18,Sheet4!$A$4:$S$65,12,FALSE),"")</f>
        <v>0</v>
      </c>
      <c r="M25" s="4" t="str">
        <f>IFERROR(VLOOKUP($K$18,Sheet4!$A$4:$S$65,13,FALSE),"")</f>
        <v/>
      </c>
      <c r="N25" s="217" t="str">
        <f>IFERROR(VLOOKUP($N$18,Sheet4!$A$4:$S$65,11,FALSE),"")</f>
        <v/>
      </c>
      <c r="O25" s="218">
        <f>IFERROR(VLOOKUP($N$18,Sheet4!$A$4:$S$65,12,FALSE),"")</f>
        <v>0</v>
      </c>
      <c r="P25" s="4" t="str">
        <f>IFERROR(VLOOKUP($N$18,Sheet4!$A$4:$S$65,13,FALSE),"")</f>
        <v/>
      </c>
      <c r="Q25" s="217" t="str">
        <f>IFERROR(VLOOKUP($Q$18,Sheet4!$A$4:$S$65,11,FALSE),"")</f>
        <v/>
      </c>
      <c r="R25" s="218">
        <f>IFERROR(VLOOKUP($Q$18,Sheet4!$A$4:$S$65,12,FALSE),"")</f>
        <v>0</v>
      </c>
      <c r="S25" s="4" t="str">
        <f>IFERROR(VLOOKUP($Q$18,Sheet4!$A$4:$S$65,13,FALSE),"")</f>
        <v/>
      </c>
      <c r="T25" s="217" t="str">
        <f>IFERROR(VLOOKUP($T$18,Sheet4!$A$4:$S$65,11,FALSE),"")</f>
        <v/>
      </c>
      <c r="U25" s="218">
        <f>IFERROR(VLOOKUP($T$18,Sheet4!$A$4:$S$65,12,FALSE),"")</f>
        <v>0</v>
      </c>
      <c r="V25" s="4" t="str">
        <f>IFERROR(VLOOKUP($T$18,Sheet4!$A$4:$S$65,13,FALSE),"")</f>
        <v/>
      </c>
    </row>
    <row r="26" spans="1:22" ht="15.95" customHeight="1" x14ac:dyDescent="0.25">
      <c r="A26" s="31" t="str">
        <f>IF(DevMode!B10="","Unused",DevMode!B10)</f>
        <v>Rover 1 (FC-372)</v>
      </c>
      <c r="B26" s="217" t="str">
        <f>IFERROR(VLOOKUP($B$18,Sheet4!$A$4:$S$65,14,FALSE),"")</f>
        <v/>
      </c>
      <c r="C26" s="218">
        <f>IFERROR(VLOOKUP($B$18,Sheet4!$A$4:$S$65,15,FALSE),"")</f>
        <v>0</v>
      </c>
      <c r="D26" s="4" t="str">
        <f>IFERROR(VLOOKUP($B$18,Sheet4!$A$4:$S$65,16,FALSE),"")</f>
        <v/>
      </c>
      <c r="E26" s="217" t="str">
        <f>IFERROR(VLOOKUP($E$18,Sheet4!$A$4:$S$65,14,FALSE),"")</f>
        <v/>
      </c>
      <c r="F26" s="218">
        <f>IFERROR(VLOOKUP($E$18,Sheet4!$A$4:$S$65,15,FALSE),"")</f>
        <v>0</v>
      </c>
      <c r="G26" s="4" t="str">
        <f>IFERROR(VLOOKUP($E$18,Sheet4!$A$4:$S$65,16,FALSE),"")</f>
        <v/>
      </c>
      <c r="H26" s="217" t="str">
        <f>IFERROR(VLOOKUP($H$18,Sheet4!$A$4:$S$65,14,FALSE),"")</f>
        <v/>
      </c>
      <c r="I26" s="218">
        <f>IFERROR(VLOOKUP($H$18,Sheet4!$A$4:$S$65,15,FALSE),"")</f>
        <v>0</v>
      </c>
      <c r="J26" s="4" t="str">
        <f>IFERROR(VLOOKUP($H$18,Sheet4!$A$4:$S$65,16,FALSE),"")</f>
        <v/>
      </c>
      <c r="K26" s="217" t="str">
        <f>IFERROR(VLOOKUP($K$18,Sheet4!$A$4:$S$65,14,FALSE),"")</f>
        <v/>
      </c>
      <c r="L26" s="218">
        <f>IFERROR(VLOOKUP($K$18,Sheet4!$A$4:$S$65,15,FALSE),"")</f>
        <v>0</v>
      </c>
      <c r="M26" s="4" t="str">
        <f>IFERROR(VLOOKUP($K$18,Sheet4!$A$4:$S$65,16,FALSE),"")</f>
        <v/>
      </c>
      <c r="N26" s="217" t="str">
        <f>IFERROR(VLOOKUP($N$18,Sheet4!$A$4:$S$65,14,FALSE),"")</f>
        <v/>
      </c>
      <c r="O26" s="218">
        <f>IFERROR(VLOOKUP($N$18,Sheet4!$A$4:$S$65,15,FALSE),"")</f>
        <v>0</v>
      </c>
      <c r="P26" s="4" t="str">
        <f>IFERROR(VLOOKUP($N$18,Sheet4!$A$4:$S$65,16,FALSE),"")</f>
        <v/>
      </c>
      <c r="Q26" s="217" t="str">
        <f>IFERROR(VLOOKUP($Q$18,Sheet4!$A$4:$S$65,14,FALSE),"")</f>
        <v/>
      </c>
      <c r="R26" s="218">
        <f>IFERROR(VLOOKUP($Q$18,Sheet4!$A$4:$S$65,15,FALSE),"")</f>
        <v>0</v>
      </c>
      <c r="S26" s="4" t="str">
        <f>IFERROR(VLOOKUP($Q$18,Sheet4!$A$4:$S$65,16,FALSE),"")</f>
        <v/>
      </c>
      <c r="T26" s="217" t="str">
        <f>IFERROR(VLOOKUP($T$18,Sheet4!$A$4:$S$65,14,FALSE),"")</f>
        <v/>
      </c>
      <c r="U26" s="218">
        <f>IFERROR(VLOOKUP($T$18,Sheet4!$A$4:$S$65,15,FALSE),"")</f>
        <v>0</v>
      </c>
      <c r="V26" s="4" t="str">
        <f>IFERROR(VLOOKUP($T$18,Sheet4!$A$4:$S$65,16,FALSE),"")</f>
        <v/>
      </c>
    </row>
    <row r="27" spans="1:22" ht="15.95" customHeight="1" x14ac:dyDescent="0.25">
      <c r="A27" s="31" t="str">
        <f>IF(DevMode!B11="","Unused",DevMode!B11)</f>
        <v>Rover 2 (FC-372)</v>
      </c>
      <c r="B27" s="217" t="str">
        <f>IFERROR(VLOOKUP($B$18,Sheet4!$A$4:$S$65,17,FALSE),"")</f>
        <v/>
      </c>
      <c r="C27" s="218">
        <f>IFERROR(VLOOKUP($B$18,Sheet4!$A$4:$S$65,18,FALSE),"")</f>
        <v>0</v>
      </c>
      <c r="D27" s="4" t="str">
        <f>IFERROR(VLOOKUP($B$18,Sheet4!$A$4:$S$65,19,FALSE),"")</f>
        <v/>
      </c>
      <c r="E27" s="217" t="str">
        <f>IFERROR(VLOOKUP($E$18,Sheet4!$A$4:$S$65,17,FALSE),"")</f>
        <v/>
      </c>
      <c r="F27" s="218">
        <f>IFERROR(VLOOKUP($E$18,Sheet4!$A$4:$S$65,18,FALSE),"")</f>
        <v>0</v>
      </c>
      <c r="G27" s="4" t="str">
        <f>IFERROR(VLOOKUP($E$18,Sheet4!$A$4:$S$65,19,FALSE),"")</f>
        <v/>
      </c>
      <c r="H27" s="217" t="str">
        <f>IFERROR(VLOOKUP($H$18,Sheet4!$A$4:$S$65,17,FALSE),"")</f>
        <v/>
      </c>
      <c r="I27" s="218">
        <f>IFERROR(VLOOKUP($H$18,Sheet4!$A$4:$S$65,18,FALSE),"")</f>
        <v>0</v>
      </c>
      <c r="J27" s="4" t="str">
        <f>IFERROR(VLOOKUP($H$18,Sheet4!$A$4:$S$65,19,FALSE),"")</f>
        <v/>
      </c>
      <c r="K27" s="217" t="str">
        <f>IFERROR(VLOOKUP($K$18,Sheet4!$A$4:$S$65,17,FALSE),"")</f>
        <v/>
      </c>
      <c r="L27" s="218">
        <f>IFERROR(VLOOKUP($K$18,Sheet4!$A$4:$S$65,18,FALSE),"")</f>
        <v>0</v>
      </c>
      <c r="M27" s="4" t="str">
        <f>IFERROR(VLOOKUP($K$18,Sheet4!$A$4:$S$65,19,FALSE),"")</f>
        <v/>
      </c>
      <c r="N27" s="217" t="str">
        <f>IFERROR(VLOOKUP($N$18,Sheet4!$A$4:$S$65,17,FALSE),"")</f>
        <v/>
      </c>
      <c r="O27" s="218">
        <f>IFERROR(VLOOKUP($N$18,Sheet4!$A$4:$S$65,18,FALSE),"")</f>
        <v>0</v>
      </c>
      <c r="P27" s="4" t="str">
        <f>IFERROR(VLOOKUP($N$18,Sheet4!$A$4:$S$65,19,FALSE),"")</f>
        <v/>
      </c>
      <c r="Q27" s="217" t="str">
        <f>IFERROR(VLOOKUP($Q$18,Sheet4!$A$4:$S$65,17,FALSE),"")</f>
        <v/>
      </c>
      <c r="R27" s="218">
        <f>IFERROR(VLOOKUP($Q$18,Sheet4!$A$4:$S$65,18,FALSE),"")</f>
        <v>0</v>
      </c>
      <c r="S27" s="4" t="str">
        <f>IFERROR(VLOOKUP($Q$18,Sheet4!$A$4:$S$65,19,FALSE),"")</f>
        <v/>
      </c>
      <c r="T27" s="217" t="str">
        <f>IFERROR(VLOOKUP($T$18,Sheet4!$A$4:$S$65,17,FALSE),"")</f>
        <v/>
      </c>
      <c r="U27" s="218">
        <f>IFERROR(VLOOKUP($T$18,Sheet4!$A$4:$S$65,18,FALSE),"")</f>
        <v>0</v>
      </c>
      <c r="V27" s="4" t="str">
        <f>IFERROR(VLOOKUP($T$18,Sheet4!$A$4:$S$65,19,FALSE),"")</f>
        <v/>
      </c>
    </row>
    <row r="28" spans="1:22" ht="15.95" customHeight="1" x14ac:dyDescent="0.25">
      <c r="A28" s="31" t="str">
        <f>IF(DevMode!B12="","Unused",DevMode!B12)</f>
        <v>DNCO (FC-481)</v>
      </c>
      <c r="B28" s="217" t="str">
        <f>IFERROR(VLOOKUP($B$18,Sheet5!$A$4:$M$63,2,FALSE),"")</f>
        <v/>
      </c>
      <c r="C28" s="218">
        <f>IFERROR(VLOOKUP($B$18,Sheet5!$A$4:$M$63,3,FALSE),"")</f>
        <v>0</v>
      </c>
      <c r="D28" s="4" t="str">
        <f>IFERROR(VLOOKUP($B$18,Sheet5!$A$4:$M$63,4,FALSE),"")</f>
        <v/>
      </c>
      <c r="E28" s="217" t="str">
        <f>IFERROR(VLOOKUP($E$18,Sheet5!$A$4:$M$63,2,FALSE),"")</f>
        <v/>
      </c>
      <c r="F28" s="218">
        <f>IFERROR(VLOOKUP($E$18,Sheet5!$A$4:$M$63,3,FALSE),"")</f>
        <v>0</v>
      </c>
      <c r="G28" s="4" t="str">
        <f>IFERROR(VLOOKUP($E$18,Sheet5!$A$4:$M$63,4,FALSE),"")</f>
        <v/>
      </c>
      <c r="H28" s="217" t="str">
        <f>IFERROR(VLOOKUP($H$18,Sheet5!$A$4:$M$63,2,FALSE),"")</f>
        <v/>
      </c>
      <c r="I28" s="218">
        <f>IFERROR(VLOOKUP($H$18,Sheet5!$A$4:$M$63,3,FALSE),"")</f>
        <v>0</v>
      </c>
      <c r="J28" s="4" t="str">
        <f>IFERROR(VLOOKUP($H$18,Sheet5!$A$4:$M$63,4,FALSE),"")</f>
        <v/>
      </c>
      <c r="K28" s="217" t="str">
        <f>IFERROR(VLOOKUP($K$18,Sheet5!$A$4:$M$63,2,FALSE),"")</f>
        <v/>
      </c>
      <c r="L28" s="218">
        <f>IFERROR(VLOOKUP($K$18,Sheet5!$A$4:$M$63,3,FALSE),"")</f>
        <v>0</v>
      </c>
      <c r="M28" s="4" t="str">
        <f>IFERROR(VLOOKUP($K$18,Sheet5!$A$4:$M$63,4,FALSE),"")</f>
        <v/>
      </c>
      <c r="N28" s="217" t="str">
        <f>IFERROR(VLOOKUP($N$18,Sheet5!$A$4:$M$63,2,FALSE),"")</f>
        <v/>
      </c>
      <c r="O28" s="218">
        <f>IFERROR(VLOOKUP($N$18,Sheet5!$A$4:$M$63,3,FALSE),"")</f>
        <v>0</v>
      </c>
      <c r="P28" s="4" t="str">
        <f>IFERROR(VLOOKUP($N$18,Sheet5!$A$4:$M$63,4,FALSE),"")</f>
        <v/>
      </c>
      <c r="Q28" s="217" t="str">
        <f>IFERROR(VLOOKUP($Q$18,Sheet5!$A$4:$M$63,2,FALSE),"")</f>
        <v/>
      </c>
      <c r="R28" s="218">
        <f>IFERROR(VLOOKUP($Q$18,Sheet5!$A$4:$M$63,3,FALSE),"")</f>
        <v>0</v>
      </c>
      <c r="S28" s="4" t="str">
        <f>IFERROR(VLOOKUP($Q$18,Sheet5!$A$4:$M$63,4,FALSE),"")</f>
        <v/>
      </c>
      <c r="T28" s="217" t="str">
        <f>IFERROR(VLOOKUP($T$18,Sheet5!$A$4:$M$63,2,FALSE),"")</f>
        <v/>
      </c>
      <c r="U28" s="218">
        <f>IFERROR(VLOOKUP($T$18,Sheet5!$A$4:$M$63,3,FALSE),"")</f>
        <v>0</v>
      </c>
      <c r="V28" s="4" t="str">
        <f>IFERROR(VLOOKUP($T$18,Sheet5!$A$4:$M$63,4,FALSE),"")</f>
        <v/>
      </c>
    </row>
    <row r="29" spans="1:22" ht="15.95" customHeight="1" x14ac:dyDescent="0.25">
      <c r="A29" s="31" t="str">
        <f>IF(DevMode!B13="","Unused",DevMode!B13)</f>
        <v>ADNCO (FC-481)</v>
      </c>
      <c r="B29" s="217" t="str">
        <f>IFERROR(VLOOKUP($B$18,Sheet5!$A$4:$M$63,5,FALSE),"")</f>
        <v/>
      </c>
      <c r="C29" s="218">
        <f>IFERROR(VLOOKUP($B$18,Sheet5!$A$4:$M$63,6,FALSE),"")</f>
        <v>0</v>
      </c>
      <c r="D29" s="4" t="str">
        <f>IFERROR(VLOOKUP($B$18,Sheet5!$A$4:$M$63,7,FALSE),"")</f>
        <v/>
      </c>
      <c r="E29" s="217" t="str">
        <f>IFERROR(VLOOKUP($E$18,Sheet5!$A$4:$M$63,5,FALSE),"")</f>
        <v/>
      </c>
      <c r="F29" s="218">
        <f>IFERROR(VLOOKUP($E$18,Sheet5!$A$4:$M$63,6,FALSE),"")</f>
        <v>0</v>
      </c>
      <c r="G29" s="4" t="str">
        <f>IFERROR(VLOOKUP($E$18,Sheet5!$A$4:$M$63,7,FALSE),"")</f>
        <v/>
      </c>
      <c r="H29" s="217" t="str">
        <f>IFERROR(VLOOKUP($H$18,Sheet5!$A$4:$M$63,5,FALSE),"")</f>
        <v/>
      </c>
      <c r="I29" s="218">
        <f>IFERROR(VLOOKUP($H$18,Sheet5!$A$4:$M$63,6,FALSE),"")</f>
        <v>0</v>
      </c>
      <c r="J29" s="4" t="str">
        <f>IFERROR(VLOOKUP($H$18,Sheet5!$A$4:$M$63,7,FALSE),"")</f>
        <v/>
      </c>
      <c r="K29" s="217" t="str">
        <f>IFERROR(VLOOKUP($K$18,Sheet5!$A$4:$M$63,5,FALSE),"")</f>
        <v/>
      </c>
      <c r="L29" s="218">
        <f>IFERROR(VLOOKUP($K$18,Sheet5!$A$4:$M$63,6,FALSE),"")</f>
        <v>0</v>
      </c>
      <c r="M29" s="4" t="str">
        <f>IFERROR(VLOOKUP($K$18,Sheet5!$A$4:$M$63,7,FALSE),"")</f>
        <v/>
      </c>
      <c r="N29" s="217" t="str">
        <f>IFERROR(VLOOKUP($N$18,Sheet5!$A$4:$M$63,5,FALSE),"")</f>
        <v/>
      </c>
      <c r="O29" s="218">
        <f>IFERROR(VLOOKUP($N$18,Sheet5!$A$4:$M$63,6,FALSE),"")</f>
        <v>0</v>
      </c>
      <c r="P29" s="4" t="str">
        <f>IFERROR(VLOOKUP($N$18,Sheet5!$A$4:$M$63,7,FALSE),"")</f>
        <v/>
      </c>
      <c r="Q29" s="217" t="str">
        <f>IFERROR(VLOOKUP($Q$18,Sheet5!$A$4:$M$63,5,FALSE),"")</f>
        <v/>
      </c>
      <c r="R29" s="218">
        <f>IFERROR(VLOOKUP($Q$18,Sheet5!$A$4:$M$63,6,FALSE),"")</f>
        <v>0</v>
      </c>
      <c r="S29" s="4" t="str">
        <f>IFERROR(VLOOKUP($Q$18,Sheet5!$A$4:$M$63,7,FALSE),"")</f>
        <v/>
      </c>
      <c r="T29" s="217" t="str">
        <f>IFERROR(VLOOKUP($T$18,Sheet5!$A$4:$M$63,5,FALSE),"")</f>
        <v/>
      </c>
      <c r="U29" s="218">
        <f>IFERROR(VLOOKUP($T$18,Sheet5!$A$4:$M$63,6,FALSE),"")</f>
        <v>0</v>
      </c>
      <c r="V29" s="4" t="str">
        <f>IFERROR(VLOOKUP($T$18,Sheet5!$A$4:$M$63,7,FALSE),"")</f>
        <v/>
      </c>
    </row>
    <row r="30" spans="1:22" ht="15.95" customHeight="1" x14ac:dyDescent="0.25">
      <c r="A30" s="31" t="str">
        <f>IF(DevMode!B14="","Unused",DevMode!B14)</f>
        <v>Rover 1 (FC-481)</v>
      </c>
      <c r="B30" s="217" t="str">
        <f>IFERROR(VLOOKUP($B$18,Sheet5!$A$4:$M$63,8,FALSE),"")</f>
        <v/>
      </c>
      <c r="C30" s="218">
        <f>IFERROR(VLOOKUP($B$18,Sheet5!$A$4:$M$63,9,FALSE),"")</f>
        <v>0</v>
      </c>
      <c r="D30" s="4" t="str">
        <f>IFERROR(VLOOKUP($B$18,Sheet5!$A$4:$M$63,10,FALSE),"")</f>
        <v/>
      </c>
      <c r="E30" s="217" t="str">
        <f>IFERROR(VLOOKUP($E$18,Sheet5!$A$4:$M$63,8,FALSE),"")</f>
        <v/>
      </c>
      <c r="F30" s="218">
        <f>IFERROR(VLOOKUP($E$18,Sheet5!$A$4:$M$63,9,FALSE),"")</f>
        <v>0</v>
      </c>
      <c r="G30" s="4" t="str">
        <f>IFERROR(VLOOKUP($E$18,Sheet5!$A$4:$M$63,10,FALSE),"")</f>
        <v/>
      </c>
      <c r="H30" s="217" t="str">
        <f>IFERROR(VLOOKUP($H$18,Sheet5!$A$4:$M$63,8,FALSE),"")</f>
        <v/>
      </c>
      <c r="I30" s="218">
        <f>IFERROR(VLOOKUP($H$18,Sheet5!$A$4:$M$63,9,FALSE),"")</f>
        <v>0</v>
      </c>
      <c r="J30" s="4" t="str">
        <f>IFERROR(VLOOKUP($H$18,Sheet5!$A$4:$M$63,10,FALSE),"")</f>
        <v/>
      </c>
      <c r="K30" s="217" t="str">
        <f>IFERROR(VLOOKUP($K$18,Sheet5!$A$4:$M$63,8,FALSE),"")</f>
        <v/>
      </c>
      <c r="L30" s="218">
        <f>IFERROR(VLOOKUP($K$18,Sheet5!$A$4:$M$63,9,FALSE),"")</f>
        <v>0</v>
      </c>
      <c r="M30" s="4" t="str">
        <f>IFERROR(VLOOKUP($K$18,Sheet5!$A$4:$M$63,10,FALSE),"")</f>
        <v/>
      </c>
      <c r="N30" s="217" t="str">
        <f>IFERROR(VLOOKUP($N$18,Sheet5!$A$4:$M$63,8,FALSE),"")</f>
        <v/>
      </c>
      <c r="O30" s="218">
        <f>IFERROR(VLOOKUP($N$18,Sheet5!$A$4:$M$63,9,FALSE),"")</f>
        <v>0</v>
      </c>
      <c r="P30" s="4" t="str">
        <f>IFERROR(VLOOKUP($N$18,Sheet5!$A$4:$M$63,10,FALSE),"")</f>
        <v/>
      </c>
      <c r="Q30" s="217" t="str">
        <f>IFERROR(VLOOKUP($Q$18,Sheet5!$A$4:$M$63,8,FALSE),"")</f>
        <v/>
      </c>
      <c r="R30" s="218">
        <f>IFERROR(VLOOKUP($Q$18,Sheet5!$A$4:$M$63,9,FALSE),"")</f>
        <v>0</v>
      </c>
      <c r="S30" s="4" t="str">
        <f>IFERROR(VLOOKUP($Q$18,Sheet5!$A$4:$M$63,10,FALSE),"")</f>
        <v/>
      </c>
      <c r="T30" s="217" t="str">
        <f>IFERROR(VLOOKUP($T$18,Sheet5!$A$4:$M$63,8,FALSE),"")</f>
        <v/>
      </c>
      <c r="U30" s="218">
        <f>IFERROR(VLOOKUP($T$18,Sheet5!$A$4:$M$63,9,FALSE),"")</f>
        <v>0</v>
      </c>
      <c r="V30" s="4" t="str">
        <f>IFERROR(VLOOKUP($T$18,Sheet5!$A$4:$M$63,10,FALSE),"")</f>
        <v/>
      </c>
    </row>
    <row r="31" spans="1:22" ht="15.95" customHeight="1" thickBot="1" x14ac:dyDescent="0.3">
      <c r="A31" s="31" t="str">
        <f>IF(DevMode!B15="","Unused",DevMode!B15)</f>
        <v>Rover 2 (FC-481)</v>
      </c>
      <c r="B31" s="219" t="str">
        <f>IFERROR(VLOOKUP($B$18,Sheet5!$A$4:$M$63,11,FALSE),"")</f>
        <v/>
      </c>
      <c r="C31" s="220">
        <f>IFERROR(VLOOKUP($B$18,Sheet5!$A$4:$M$63,12,FALSE),"")</f>
        <v>0</v>
      </c>
      <c r="D31" s="5" t="str">
        <f>IFERROR(VLOOKUP($B$18,Sheet5!$A$4:$M$63,13,FALSE),"")</f>
        <v/>
      </c>
      <c r="E31" s="219" t="str">
        <f>IFERROR(VLOOKUP($E$18,Sheet5!$A$4:$M$63,11,FALSE),"")</f>
        <v/>
      </c>
      <c r="F31" s="220">
        <f>IFERROR(VLOOKUP($E$18,Sheet5!$A$4:$M$63,12,FALSE),"")</f>
        <v>0</v>
      </c>
      <c r="G31" s="5" t="str">
        <f>IFERROR(VLOOKUP($E$18,Sheet5!$A$4:$M$63,13,FALSE),"")</f>
        <v/>
      </c>
      <c r="H31" s="219" t="str">
        <f>IFERROR(VLOOKUP($H$18,Sheet5!$A$4:$M$63,11,FALSE),"")</f>
        <v/>
      </c>
      <c r="I31" s="220">
        <f>IFERROR(VLOOKUP($H$18,Sheet5!$A$4:$M$63,12,FALSE),"")</f>
        <v>0</v>
      </c>
      <c r="J31" s="5" t="str">
        <f>IFERROR(VLOOKUP($H$18,Sheet5!$A$4:$M$63,13,FALSE),"")</f>
        <v/>
      </c>
      <c r="K31" s="219" t="str">
        <f>IFERROR(VLOOKUP($K$18,Sheet5!$A$4:$M$63,11,FALSE),"")</f>
        <v/>
      </c>
      <c r="L31" s="220">
        <f>IFERROR(VLOOKUP($K$18,Sheet5!$A$4:$M$63,12,FALSE),"")</f>
        <v>0</v>
      </c>
      <c r="M31" s="5" t="str">
        <f>IFERROR(VLOOKUP($K$18,Sheet5!$A$4:$M$63,13,FALSE),"")</f>
        <v/>
      </c>
      <c r="N31" s="219" t="str">
        <f>IFERROR(VLOOKUP($N$18,Sheet5!$A$4:$M$63,11,FALSE),"")</f>
        <v/>
      </c>
      <c r="O31" s="220">
        <f>IFERROR(VLOOKUP($N$18,Sheet5!$A$4:$M$63,12,FALSE),"")</f>
        <v>0</v>
      </c>
      <c r="P31" s="5" t="str">
        <f>IFERROR(VLOOKUP($N$18,Sheet5!$A$4:$M$63,13,FALSE),"")</f>
        <v/>
      </c>
      <c r="Q31" s="219" t="str">
        <f>IFERROR(VLOOKUP($Q$18,Sheet5!$A$4:$M$63,11,FALSE),"")</f>
        <v/>
      </c>
      <c r="R31" s="220">
        <f>IFERROR(VLOOKUP($Q$18,Sheet5!$A$4:$M$63,12,FALSE),"")</f>
        <v>0</v>
      </c>
      <c r="S31" s="5" t="str">
        <f>IFERROR(VLOOKUP($Q$18,Sheet5!$A$4:$M$63,13,FALSE),"")</f>
        <v/>
      </c>
      <c r="T31" s="219" t="str">
        <f>IFERROR(VLOOKUP($T$18,Sheet5!$A$4:$M$63,11,FALSE),"")</f>
        <v/>
      </c>
      <c r="U31" s="220">
        <f>IFERROR(VLOOKUP($T$18,Sheet5!$A$4:$M$63,12,FALSE),"")</f>
        <v>0</v>
      </c>
      <c r="V31" s="5" t="str">
        <f>IFERROR(VLOOKUP($T$18,Sheet5!$A$4:$M$63,13,FALSE),"")</f>
        <v/>
      </c>
    </row>
    <row r="32" spans="1:22" ht="15.95" customHeight="1" thickBot="1" x14ac:dyDescent="0.3">
      <c r="A32" s="1"/>
      <c r="B32" s="2" t="str">
        <f>IFERROR(T18+1,"")</f>
        <v/>
      </c>
      <c r="C32" s="351"/>
      <c r="D32" s="352"/>
      <c r="E32" s="2" t="str">
        <f>IFERROR(B32+1,"")</f>
        <v/>
      </c>
      <c r="F32" s="351"/>
      <c r="G32" s="352"/>
      <c r="H32" s="2" t="str">
        <f>IFERROR(E32+1,"")</f>
        <v/>
      </c>
      <c r="I32" s="351"/>
      <c r="J32" s="352"/>
      <c r="K32" s="2" t="str">
        <f>IFERROR(H32+1,"")</f>
        <v/>
      </c>
      <c r="L32" s="351"/>
      <c r="M32" s="352"/>
      <c r="N32" s="2" t="str">
        <f>IFERROR(K32+1,"")</f>
        <v/>
      </c>
      <c r="O32" s="351"/>
      <c r="P32" s="352"/>
      <c r="Q32" s="2" t="str">
        <f>IFERROR(N32+1,"")</f>
        <v/>
      </c>
      <c r="R32" s="351"/>
      <c r="S32" s="352"/>
      <c r="T32" s="2" t="str">
        <f>IFERROR(Q32+1,"")</f>
        <v/>
      </c>
      <c r="U32" s="351"/>
      <c r="V32" s="352"/>
    </row>
    <row r="33" spans="1:22" ht="15.95" customHeight="1" x14ac:dyDescent="0.25">
      <c r="A33" s="31" t="str">
        <f>IF(DevMode!B3="","Unused",DevMode!B3)</f>
        <v>OOD (FC-300)</v>
      </c>
      <c r="B33" s="215" t="str">
        <f>IFERROR(VLOOKUP($B$32,Sheet2!$A$4:$J$63,2,FALSE),"")</f>
        <v/>
      </c>
      <c r="C33" s="216">
        <f>IFERROR(VLOOKUP($B$32,Sheet2!$A$4:$J$63,3,FALSE),"")</f>
        <v>0</v>
      </c>
      <c r="D33" s="3">
        <f>IFERROR(VLOOKUP($B$32,Sheet2!$A$4:$J$63,4,FALSE),"")</f>
        <v>0</v>
      </c>
      <c r="E33" s="215" t="str">
        <f>IFERROR(VLOOKUP($E$32,Sheet2!$A$4:$J$63,2,FALSE),"")</f>
        <v/>
      </c>
      <c r="F33" s="216">
        <f>IFERROR(VLOOKUP($E$32,Sheet2!$A$4:$J$63,3,FALSE),"")</f>
        <v>0</v>
      </c>
      <c r="G33" s="3">
        <f>IFERROR(VLOOKUP($E$32,Sheet2!$A$4:$J$63,4,FALSE),"")</f>
        <v>0</v>
      </c>
      <c r="H33" s="215" t="str">
        <f>IFERROR(VLOOKUP($H$32,Sheet2!$A$4:$J$63,2,FALSE),"")</f>
        <v/>
      </c>
      <c r="I33" s="216">
        <f>IFERROR(VLOOKUP($H$32,Sheet2!$A$4:$J$63,3,FALSE),"")</f>
        <v>0</v>
      </c>
      <c r="J33" s="3">
        <f>IFERROR(VLOOKUP($H$32,Sheet2!$A$4:$J$63,4,FALSE),"")</f>
        <v>0</v>
      </c>
      <c r="K33" s="215" t="str">
        <f>IFERROR(VLOOKUP($K$32,Sheet2!$A$4:$J$63,2,FALSE),"")</f>
        <v/>
      </c>
      <c r="L33" s="216">
        <f>IFERROR(VLOOKUP($K$32,Sheet2!$A$4:$J$63,3,FALSE),"")</f>
        <v>0</v>
      </c>
      <c r="M33" s="3">
        <f>IFERROR(VLOOKUP($K$32,Sheet2!$A$4:$J$63,4,FALSE),"")</f>
        <v>0</v>
      </c>
      <c r="N33" s="215" t="str">
        <f>IFERROR(VLOOKUP($N$32,Sheet2!$A$4:$J$63,2,FALSE),"")</f>
        <v/>
      </c>
      <c r="O33" s="216">
        <f>IFERROR(VLOOKUP($N$32,Sheet2!$A$4:$J$63,3,FALSE),"")</f>
        <v>0</v>
      </c>
      <c r="P33" s="3">
        <f>IFERROR(VLOOKUP($N$32,Sheet2!$A$4:$J$63,4,FALSE),"")</f>
        <v>0</v>
      </c>
      <c r="Q33" s="215" t="str">
        <f>IFERROR(VLOOKUP($Q$32,Sheet2!$A$4:$J$63,2,FALSE),"")</f>
        <v/>
      </c>
      <c r="R33" s="216">
        <f>IFERROR(VLOOKUP($Q$32,Sheet2!$A$4:$J$63,3,FALSE),"")</f>
        <v>0</v>
      </c>
      <c r="S33" s="3">
        <f>IFERROR(VLOOKUP($Q$32,Sheet2!$A$4:$J$63,4,FALSE),"")</f>
        <v>0</v>
      </c>
      <c r="T33" s="215" t="str">
        <f>IFERROR(VLOOKUP($T$32,Sheet2!$A$4:$J$63,2,FALSE),"")</f>
        <v/>
      </c>
      <c r="U33" s="216">
        <f>IFERROR(VLOOKUP($T$32,Sheet2!$A$4:$J$63,3,FALSE),"")</f>
        <v>0</v>
      </c>
      <c r="V33" s="3">
        <f>IFERROR(VLOOKUP($T$32,Sheet2!$A$4:$J$63,4,FALSE),"")</f>
        <v>0</v>
      </c>
    </row>
    <row r="34" spans="1:22" ht="15.95" customHeight="1" x14ac:dyDescent="0.25">
      <c r="A34" s="31" t="str">
        <f>IF(DevMode!B4="","Unused",DevMode!B4)</f>
        <v>AOOD (FC-300)</v>
      </c>
      <c r="B34" s="217" t="str">
        <f>IFERROR(VLOOKUP($B$32,Sheet2!$A$4:$J$63,5,FALSE),"")</f>
        <v/>
      </c>
      <c r="C34" s="218">
        <f>IFERROR(VLOOKUP($B$32,Sheet2!$A$4:$J$63,6,FALSE),"")</f>
        <v>0</v>
      </c>
      <c r="D34" s="4" t="str">
        <f>IFERROR(VLOOKUP($B$32,Sheet2!$A$4:$J$63,7,FALSE),"")</f>
        <v/>
      </c>
      <c r="E34" s="217" t="str">
        <f>IFERROR(VLOOKUP($E$32,Sheet2!$A$4:$J$63,5,FALSE),"")</f>
        <v/>
      </c>
      <c r="F34" s="218">
        <f>IFERROR(VLOOKUP($E$32,Sheet2!$A$4:$J$63,6,FALSE),"")</f>
        <v>0</v>
      </c>
      <c r="G34" s="4" t="str">
        <f>IFERROR(VLOOKUP($E$32,Sheet2!$A$4:$J$63,7,FALSE),"")</f>
        <v/>
      </c>
      <c r="H34" s="217" t="str">
        <f>IFERROR(VLOOKUP($H$32,Sheet2!$A$4:$J$63,5,FALSE),"")</f>
        <v/>
      </c>
      <c r="I34" s="218">
        <f>IFERROR(VLOOKUP($H$32,Sheet2!$A$4:$J$63,6,FALSE),"")</f>
        <v>0</v>
      </c>
      <c r="J34" s="4" t="str">
        <f>IFERROR(VLOOKUP($H$32,Sheet2!$A$4:$J$63,7,FALSE),"")</f>
        <v/>
      </c>
      <c r="K34" s="217" t="str">
        <f>IFERROR(VLOOKUP($K$32,Sheet2!$A$4:$J$63,5,FALSE),"")</f>
        <v/>
      </c>
      <c r="L34" s="218">
        <f>IFERROR(VLOOKUP($K$32,Sheet2!$A$4:$J$63,6,FALSE),"")</f>
        <v>0</v>
      </c>
      <c r="M34" s="4" t="str">
        <f>IFERROR(VLOOKUP($K$32,Sheet2!$A$4:$J$63,7,FALSE),"")</f>
        <v/>
      </c>
      <c r="N34" s="217" t="str">
        <f>IFERROR(VLOOKUP($N$32,Sheet2!$A$4:$J$63,5,FALSE),"")</f>
        <v/>
      </c>
      <c r="O34" s="218">
        <f>IFERROR(VLOOKUP($N$32,Sheet2!$A$4:$J$63,6,FALSE),"")</f>
        <v>0</v>
      </c>
      <c r="P34" s="4" t="str">
        <f>IFERROR(VLOOKUP($N$32,Sheet2!$A$4:$J$63,7,FALSE),"")</f>
        <v/>
      </c>
      <c r="Q34" s="217" t="str">
        <f>IFERROR(VLOOKUP($Q$32,Sheet2!$A$4:$J$63,5,FALSE),"")</f>
        <v/>
      </c>
      <c r="R34" s="218">
        <f>IFERROR(VLOOKUP($Q$32,Sheet2!$A$4:$J$63,6,FALSE),"")</f>
        <v>0</v>
      </c>
      <c r="S34" s="4" t="str">
        <f>IFERROR(VLOOKUP($Q$32,Sheet2!$A$4:$J$63,7,FALSE),"")</f>
        <v/>
      </c>
      <c r="T34" s="217" t="str">
        <f>IFERROR(VLOOKUP($T$32,Sheet2!$A$4:$J$63,5,FALSE),"")</f>
        <v/>
      </c>
      <c r="U34" s="218">
        <f>IFERROR(VLOOKUP($T$32,Sheet2!$A$4:$J$63,6,FALSE),"")</f>
        <v>0</v>
      </c>
      <c r="V34" s="4" t="str">
        <f>IFERROR(VLOOKUP($T$32,Sheet2!$A$4:$J$63,7,FALSE),"")</f>
        <v/>
      </c>
    </row>
    <row r="35" spans="1:22" ht="15.95" customHeight="1" x14ac:dyDescent="0.25">
      <c r="A35" s="31" t="str">
        <f>IF(DevMode!B5="","Unused",DevMode!B5)</f>
        <v>Duty Driver (FC-300)</v>
      </c>
      <c r="B35" s="217" t="str">
        <f>IFERROR(VLOOKUP($B$32,Sheet2!$A$4:$J$63,8,FALSE),"")</f>
        <v/>
      </c>
      <c r="C35" s="218">
        <f>IFERROR(VLOOKUP($B$32,Sheet2!$A$4:$J$63,9,FALSE),"")</f>
        <v>0</v>
      </c>
      <c r="D35" s="4" t="str">
        <f>IFERROR(VLOOKUP($B$32,Sheet2!$A$4:$J$63,10,FALSE),"")</f>
        <v/>
      </c>
      <c r="E35" s="217" t="str">
        <f>IFERROR(VLOOKUP($E$32,Sheet2!$A$4:$J$63,8,FALSE),"")</f>
        <v/>
      </c>
      <c r="F35" s="218">
        <f>IFERROR(VLOOKUP($E$32,Sheet2!$A$4:$J$63,9,FALSE),"")</f>
        <v>0</v>
      </c>
      <c r="G35" s="4" t="str">
        <f>IFERROR(VLOOKUP($E$32,Sheet2!$A$4:$J$63,10,FALSE),"")</f>
        <v/>
      </c>
      <c r="H35" s="217" t="str">
        <f>IFERROR(VLOOKUP($H$32,Sheet2!$A$4:$J$63,8,FALSE),"")</f>
        <v/>
      </c>
      <c r="I35" s="218">
        <f>IFERROR(VLOOKUP($H$32,Sheet2!$A$4:$J$63,9,FALSE),"")</f>
        <v>0</v>
      </c>
      <c r="J35" s="4" t="str">
        <f>IFERROR(VLOOKUP($H$32,Sheet2!$A$4:$J$63,10,FALSE),"")</f>
        <v/>
      </c>
      <c r="K35" s="217" t="str">
        <f>IFERROR(VLOOKUP($K$32,Sheet2!$A$4:$J$63,8,FALSE),"")</f>
        <v/>
      </c>
      <c r="L35" s="218">
        <f>IFERROR(VLOOKUP($K$32,Sheet2!$A$4:$J$63,9,FALSE),"")</f>
        <v>0</v>
      </c>
      <c r="M35" s="4" t="str">
        <f>IFERROR(VLOOKUP($K$32,Sheet2!$A$4:$J$63,10,FALSE),"")</f>
        <v/>
      </c>
      <c r="N35" s="217" t="str">
        <f>IFERROR(VLOOKUP($N$32,Sheet2!$A$4:$J$63,8,FALSE),"")</f>
        <v/>
      </c>
      <c r="O35" s="218">
        <f>IFERROR(VLOOKUP($N$32,Sheet2!$A$4:$J$63,9,FALSE),"")</f>
        <v>0</v>
      </c>
      <c r="P35" s="4" t="str">
        <f>IFERROR(VLOOKUP($N$32,Sheet2!$A$4:$J$63,10,FALSE),"")</f>
        <v/>
      </c>
      <c r="Q35" s="217" t="str">
        <f>IFERROR(VLOOKUP($Q$32,Sheet2!$A$4:$J$63,8,FALSE),"")</f>
        <v/>
      </c>
      <c r="R35" s="218">
        <f>IFERROR(VLOOKUP($Q$32,Sheet2!$A$4:$J$63,9,FALSE),"")</f>
        <v>0</v>
      </c>
      <c r="S35" s="4" t="str">
        <f>IFERROR(VLOOKUP($Q$32,Sheet2!$A$4:$J$63,10,FALSE),"")</f>
        <v/>
      </c>
      <c r="T35" s="217" t="str">
        <f>IFERROR(VLOOKUP($T$32,Sheet2!$A$4:$J$63,8,FALSE),"")</f>
        <v/>
      </c>
      <c r="U35" s="218">
        <f>IFERROR(VLOOKUP($T$32,Sheet2!$A$4:$J$63,9,FALSE),"")</f>
        <v>0</v>
      </c>
      <c r="V35" s="4" t="str">
        <f>IFERROR(VLOOKUP($T$32,Sheet2!$A$4:$J$63,10,FALSE),"")</f>
        <v/>
      </c>
    </row>
    <row r="36" spans="1:22" ht="15.95" customHeight="1" x14ac:dyDescent="0.25">
      <c r="A36" s="31" t="str">
        <f>IF(DevMode!B6="","Unused",DevMode!B6)</f>
        <v>DNCO (FC-370)</v>
      </c>
      <c r="B36" s="217" t="str">
        <f>IFERROR(VLOOKUP($B$32,Sheet4!$A$4:$S$65,2,FALSE),"")</f>
        <v/>
      </c>
      <c r="C36" s="218">
        <f>IFERROR(VLOOKUP($B$32,Sheet4!$A$4:$S$65,3,FALSE),"")</f>
        <v>0</v>
      </c>
      <c r="D36" s="4" t="str">
        <f>IFERROR(VLOOKUP($B$32,Sheet4!$A$4:$S$65,4,FALSE),"")</f>
        <v/>
      </c>
      <c r="E36" s="217" t="str">
        <f>IFERROR(VLOOKUP($E$32,Sheet4!$A$4:$S$65,2,FALSE),"")</f>
        <v/>
      </c>
      <c r="F36" s="218">
        <f>IFERROR(VLOOKUP($E$32,Sheet4!$A$4:$S$65,3,FALSE),"")</f>
        <v>0</v>
      </c>
      <c r="G36" s="4" t="str">
        <f>IFERROR(VLOOKUP($E$32,Sheet4!$A$4:$S$65,4,FALSE),"")</f>
        <v/>
      </c>
      <c r="H36" s="217" t="str">
        <f>IFERROR(VLOOKUP($H$32,Sheet4!$A$4:$S$65,2,FALSE),"")</f>
        <v/>
      </c>
      <c r="I36" s="218">
        <f>IFERROR(VLOOKUP($H$32,Sheet4!$A$4:$S$65,3,FALSE),"")</f>
        <v>0</v>
      </c>
      <c r="J36" s="4" t="str">
        <f>IFERROR(VLOOKUP($H$32,Sheet4!$A$4:$S$65,4,FALSE),"")</f>
        <v/>
      </c>
      <c r="K36" s="217" t="str">
        <f>IFERROR(VLOOKUP($K$32,Sheet4!$A$4:$S$65,2,FALSE),"")</f>
        <v/>
      </c>
      <c r="L36" s="218">
        <f>IFERROR(VLOOKUP($K$32,Sheet4!$A$4:$S$65,3,FALSE),"")</f>
        <v>0</v>
      </c>
      <c r="M36" s="4" t="str">
        <f>IFERROR(VLOOKUP($K$32,Sheet4!$A$4:$S$65,4,FALSE),"")</f>
        <v/>
      </c>
      <c r="N36" s="217" t="str">
        <f>IFERROR(VLOOKUP($N$32,Sheet4!$A$4:$S$65,2,FALSE),"")</f>
        <v/>
      </c>
      <c r="O36" s="218">
        <f>IFERROR(VLOOKUP($N$32,Sheet4!$A$4:$S$65,3,FALSE),"")</f>
        <v>0</v>
      </c>
      <c r="P36" s="4" t="str">
        <f>IFERROR(VLOOKUP($N$32,Sheet4!$A$4:$S$65,4,FALSE),"")</f>
        <v/>
      </c>
      <c r="Q36" s="217" t="str">
        <f>IFERROR(VLOOKUP($Q$32,Sheet4!$A$4:$S$65,2,FALSE),"")</f>
        <v/>
      </c>
      <c r="R36" s="218">
        <f>IFERROR(VLOOKUP($Q$32,Sheet4!$A$4:$S$65,3,FALSE),"")</f>
        <v>0</v>
      </c>
      <c r="S36" s="4" t="str">
        <f>IFERROR(VLOOKUP($Q$32,Sheet4!$A$4:$S$65,4,FALSE),"")</f>
        <v/>
      </c>
      <c r="T36" s="217" t="str">
        <f>IFERROR(VLOOKUP($T$32,Sheet4!$A$4:$S$65,2,FALSE),"")</f>
        <v/>
      </c>
      <c r="U36" s="218">
        <f>IFERROR(VLOOKUP($T$32,Sheet4!$A$4:$S$65,3,FALSE),"")</f>
        <v>0</v>
      </c>
      <c r="V36" s="4" t="str">
        <f>IFERROR(VLOOKUP($T$32,Sheet4!$A$4:$S$65,4,FALSE),"")</f>
        <v/>
      </c>
    </row>
    <row r="37" spans="1:22" ht="15.95" customHeight="1" x14ac:dyDescent="0.25">
      <c r="A37" s="31" t="str">
        <f>IF(DevMode!B7="","Unused",DevMode!B7)</f>
        <v>ADNCO (FC-370)</v>
      </c>
      <c r="B37" s="217" t="str">
        <f>IFERROR(VLOOKUP($B$32,Sheet4!$A$4:$S$65,5,FALSE),"")</f>
        <v/>
      </c>
      <c r="C37" s="218">
        <f>IFERROR(VLOOKUP($B$32,Sheet4!$A$4:$S$65,6,FALSE),"")</f>
        <v>0</v>
      </c>
      <c r="D37" s="4" t="str">
        <f>IFERROR(VLOOKUP($B$32,Sheet4!$A$4:$S$65,7,FALSE),"")</f>
        <v/>
      </c>
      <c r="E37" s="217" t="str">
        <f>IFERROR(VLOOKUP($E$32,Sheet4!$A$4:$S$65,5,FALSE),"")</f>
        <v/>
      </c>
      <c r="F37" s="218">
        <f>IFERROR(VLOOKUP($E$32,Sheet4!$A$4:$S$65,6,FALSE),"")</f>
        <v>0</v>
      </c>
      <c r="G37" s="4" t="str">
        <f>IFERROR(VLOOKUP($E$32,Sheet4!$A$4:$S$65,7,FALSE),"")</f>
        <v/>
      </c>
      <c r="H37" s="217" t="str">
        <f>IFERROR(VLOOKUP($H$32,Sheet4!$A$4:$S$65,5,FALSE),"")</f>
        <v/>
      </c>
      <c r="I37" s="218">
        <f>IFERROR(VLOOKUP($H$32,Sheet4!$A$4:$S$65,6,FALSE),"")</f>
        <v>0</v>
      </c>
      <c r="J37" s="4" t="str">
        <f>IFERROR(VLOOKUP($H$32,Sheet4!$A$4:$S$65,7,FALSE),"")</f>
        <v/>
      </c>
      <c r="K37" s="217" t="str">
        <f>IFERROR(VLOOKUP($K$32,Sheet4!$A$4:$S$65,5,FALSE),"")</f>
        <v/>
      </c>
      <c r="L37" s="218">
        <f>IFERROR(VLOOKUP($K$32,Sheet4!$A$4:$S$65,6,FALSE),"")</f>
        <v>0</v>
      </c>
      <c r="M37" s="4" t="str">
        <f>IFERROR(VLOOKUP($K$32,Sheet4!$A$4:$S$65,7,FALSE),"")</f>
        <v/>
      </c>
      <c r="N37" s="217" t="str">
        <f>IFERROR(VLOOKUP($N$32,Sheet4!$A$4:$S$65,5,FALSE),"")</f>
        <v/>
      </c>
      <c r="O37" s="218">
        <f>IFERROR(VLOOKUP($N$32,Sheet4!$A$4:$S$65,6,FALSE),"")</f>
        <v>0</v>
      </c>
      <c r="P37" s="4" t="str">
        <f>IFERROR(VLOOKUP($N$32,Sheet4!$A$4:$S$65,7,FALSE),"")</f>
        <v/>
      </c>
      <c r="Q37" s="217" t="str">
        <f>IFERROR(VLOOKUP($Q$32,Sheet4!$A$4:$S$65,5,FALSE),"")</f>
        <v/>
      </c>
      <c r="R37" s="218">
        <f>IFERROR(VLOOKUP($Q$32,Sheet4!$A$4:$S$65,6,FALSE),"")</f>
        <v>0</v>
      </c>
      <c r="S37" s="4" t="str">
        <f>IFERROR(VLOOKUP($Q$32,Sheet4!$A$4:$S$65,7,FALSE),"")</f>
        <v/>
      </c>
      <c r="T37" s="217" t="str">
        <f>IFERROR(VLOOKUP($T$32,Sheet4!$A$4:$S$65,5,FALSE),"")</f>
        <v/>
      </c>
      <c r="U37" s="218">
        <f>IFERROR(VLOOKUP($T$32,Sheet4!$A$4:$S$65,6,FALSE),"")</f>
        <v>0</v>
      </c>
      <c r="V37" s="4" t="str">
        <f>IFERROR(VLOOKUP($T$32,Sheet4!$A$4:$S$65,7,FALSE),"")</f>
        <v/>
      </c>
    </row>
    <row r="38" spans="1:22" ht="15.95" customHeight="1" x14ac:dyDescent="0.25">
      <c r="A38" s="31" t="str">
        <f>IF(DevMode!B8="","Unused",DevMode!B8)</f>
        <v>Rover 1 (FC-371)</v>
      </c>
      <c r="B38" s="217" t="str">
        <f>IFERROR(VLOOKUP($B$32,Sheet4!$A$4:$S$65,8,FALSE),"")</f>
        <v/>
      </c>
      <c r="C38" s="218">
        <f>IFERROR(VLOOKUP($B$32,Sheet4!$A$4:$S$65,9,FALSE),"")</f>
        <v>0</v>
      </c>
      <c r="D38" s="4" t="str">
        <f>IFERROR(VLOOKUP($B$32,Sheet4!$A$4:$S$65,10,FALSE),"")</f>
        <v/>
      </c>
      <c r="E38" s="217" t="str">
        <f>IFERROR(VLOOKUP($E$32,Sheet4!$A$4:$S$65,8,FALSE),"")</f>
        <v/>
      </c>
      <c r="F38" s="218">
        <f>IFERROR(VLOOKUP($E$32,Sheet4!$A$4:$S$65,9,FALSE),"")</f>
        <v>0</v>
      </c>
      <c r="G38" s="4" t="str">
        <f>IFERROR(VLOOKUP($E$32,Sheet4!$A$4:$S$65,10,FALSE),"")</f>
        <v/>
      </c>
      <c r="H38" s="217" t="str">
        <f>IFERROR(VLOOKUP($H$32,Sheet4!$A$4:$S$65,8,FALSE),"")</f>
        <v/>
      </c>
      <c r="I38" s="218">
        <f>IFERROR(VLOOKUP($H$32,Sheet4!$A$4:$S$65,9,FALSE),"")</f>
        <v>0</v>
      </c>
      <c r="J38" s="4" t="str">
        <f>IFERROR(VLOOKUP($H$32,Sheet4!$A$4:$S$65,10,FALSE),"")</f>
        <v/>
      </c>
      <c r="K38" s="217" t="str">
        <f>IFERROR(VLOOKUP($K$32,Sheet4!$A$4:$S$65,8,FALSE),"")</f>
        <v/>
      </c>
      <c r="L38" s="218">
        <f>IFERROR(VLOOKUP($K$32,Sheet4!$A$4:$S$65,9,FALSE),"")</f>
        <v>0</v>
      </c>
      <c r="M38" s="4" t="str">
        <f>IFERROR(VLOOKUP($K$32,Sheet4!$A$4:$S$65,10,FALSE),"")</f>
        <v/>
      </c>
      <c r="N38" s="217" t="str">
        <f>IFERROR(VLOOKUP($N$32,Sheet4!$A$4:$S$65,8,FALSE),"")</f>
        <v/>
      </c>
      <c r="O38" s="218">
        <f>IFERROR(VLOOKUP($N$32,Sheet4!$A$4:$S$65,9,FALSE),"")</f>
        <v>0</v>
      </c>
      <c r="P38" s="4" t="str">
        <f>IFERROR(VLOOKUP($N$32,Sheet4!$A$4:$S$65,10,FALSE),"")</f>
        <v/>
      </c>
      <c r="Q38" s="217" t="str">
        <f>IFERROR(VLOOKUP($Q$32,Sheet4!$A$4:$S$65,8,FALSE),"")</f>
        <v/>
      </c>
      <c r="R38" s="218">
        <f>IFERROR(VLOOKUP($Q$32,Sheet4!$A$4:$S$65,9,FALSE),"")</f>
        <v>0</v>
      </c>
      <c r="S38" s="4" t="str">
        <f>IFERROR(VLOOKUP($Q$32,Sheet4!$A$4:$S$65,10,FALSE),"")</f>
        <v/>
      </c>
      <c r="T38" s="217" t="str">
        <f>IFERROR(VLOOKUP($T$32,Sheet4!$A$4:$S$65,8,FALSE),"")</f>
        <v/>
      </c>
      <c r="U38" s="218">
        <f>IFERROR(VLOOKUP($T$32,Sheet4!$A$4:$S$65,9,FALSE),"")</f>
        <v>0</v>
      </c>
      <c r="V38" s="4" t="str">
        <f>IFERROR(VLOOKUP($T$32,Sheet4!$A$4:$S$65,10,FALSE),"")</f>
        <v/>
      </c>
    </row>
    <row r="39" spans="1:22" ht="15.95" customHeight="1" x14ac:dyDescent="0.25">
      <c r="A39" s="31" t="str">
        <f>IF(DevMode!B9="","Unused",DevMode!B9)</f>
        <v>Rover 2 (FC-371)</v>
      </c>
      <c r="B39" s="217" t="str">
        <f>IFERROR(VLOOKUP($B$32,Sheet4!$A$4:$S$65,11,FALSE),"")</f>
        <v/>
      </c>
      <c r="C39" s="218">
        <f>IFERROR(VLOOKUP($B$32,Sheet4!$A$4:$S$65,12,FALSE),"")</f>
        <v>0</v>
      </c>
      <c r="D39" s="4" t="str">
        <f>IFERROR(VLOOKUP($B$32,Sheet4!$A$4:$S$65,13,FALSE),"")</f>
        <v/>
      </c>
      <c r="E39" s="217" t="str">
        <f>IFERROR(VLOOKUP($E$32,Sheet4!$A$4:$S$65,11,FALSE),"")</f>
        <v/>
      </c>
      <c r="F39" s="218">
        <f>IFERROR(VLOOKUP($E$32,Sheet4!$A$4:$S$65,12,FALSE),"")</f>
        <v>0</v>
      </c>
      <c r="G39" s="4" t="str">
        <f>IFERROR(VLOOKUP($E$32,Sheet4!$A$4:$S$65,13,FALSE),"")</f>
        <v/>
      </c>
      <c r="H39" s="217" t="str">
        <f>IFERROR(VLOOKUP($H$32,Sheet4!$A$4:$S$65,11,FALSE),"")</f>
        <v/>
      </c>
      <c r="I39" s="218">
        <f>IFERROR(VLOOKUP($H$32,Sheet4!$A$4:$S$65,12,FALSE),"")</f>
        <v>0</v>
      </c>
      <c r="J39" s="4" t="str">
        <f>IFERROR(VLOOKUP($H$32,Sheet4!$A$4:$S$65,13,FALSE),"")</f>
        <v/>
      </c>
      <c r="K39" s="217" t="str">
        <f>IFERROR(VLOOKUP($K$32,Sheet4!$A$4:$S$65,11,FALSE),"")</f>
        <v/>
      </c>
      <c r="L39" s="218">
        <f>IFERROR(VLOOKUP($K$32,Sheet4!$A$4:$S$65,12,FALSE),"")</f>
        <v>0</v>
      </c>
      <c r="M39" s="4" t="str">
        <f>IFERROR(VLOOKUP($K$32,Sheet4!$A$4:$S$65,13,FALSE),"")</f>
        <v/>
      </c>
      <c r="N39" s="217" t="str">
        <f>IFERROR(VLOOKUP($N$32,Sheet4!$A$4:$S$65,11,FALSE),"")</f>
        <v/>
      </c>
      <c r="O39" s="218">
        <f>IFERROR(VLOOKUP($N$32,Sheet4!$A$4:$S$65,12,FALSE),"")</f>
        <v>0</v>
      </c>
      <c r="P39" s="4" t="str">
        <f>IFERROR(VLOOKUP($N$32,Sheet4!$A$4:$S$65,13,FALSE),"")</f>
        <v/>
      </c>
      <c r="Q39" s="217" t="str">
        <f>IFERROR(VLOOKUP($Q$32,Sheet4!$A$4:$S$65,11,FALSE),"")</f>
        <v/>
      </c>
      <c r="R39" s="218">
        <f>IFERROR(VLOOKUP($Q$32,Sheet4!$A$4:$S$65,12,FALSE),"")</f>
        <v>0</v>
      </c>
      <c r="S39" s="4" t="str">
        <f>IFERROR(VLOOKUP($Q$32,Sheet4!$A$4:$S$65,13,FALSE),"")</f>
        <v/>
      </c>
      <c r="T39" s="217" t="str">
        <f>IFERROR(VLOOKUP($T$32,Sheet4!$A$4:$S$65,11,FALSE),"")</f>
        <v/>
      </c>
      <c r="U39" s="218">
        <f>IFERROR(VLOOKUP($T$32,Sheet4!$A$4:$S$65,12,FALSE),"")</f>
        <v>0</v>
      </c>
      <c r="V39" s="4" t="str">
        <f>IFERROR(VLOOKUP($T$32,Sheet4!$A$4:$S$65,13,FALSE),"")</f>
        <v/>
      </c>
    </row>
    <row r="40" spans="1:22" ht="15.95" customHeight="1" x14ac:dyDescent="0.25">
      <c r="A40" s="31" t="str">
        <f>IF(DevMode!B10="","Unused",DevMode!B10)</f>
        <v>Rover 1 (FC-372)</v>
      </c>
      <c r="B40" s="217" t="str">
        <f>IFERROR(VLOOKUP($B$32,Sheet4!$A$4:$S$65,14,FALSE),"")</f>
        <v/>
      </c>
      <c r="C40" s="218">
        <f>IFERROR(VLOOKUP($B$32,Sheet4!$A$4:$S$65,15,FALSE),"")</f>
        <v>0</v>
      </c>
      <c r="D40" s="4" t="str">
        <f>IFERROR(VLOOKUP($B$32,Sheet4!$A$4:$S$65,16,FALSE),"")</f>
        <v/>
      </c>
      <c r="E40" s="217" t="str">
        <f>IFERROR(VLOOKUP($E$32,Sheet4!$A$4:$S$65,14,FALSE),"")</f>
        <v/>
      </c>
      <c r="F40" s="218">
        <f>IFERROR(VLOOKUP($E$32,Sheet4!$A$4:$S$65,15,FALSE),"")</f>
        <v>0</v>
      </c>
      <c r="G40" s="4" t="str">
        <f>IFERROR(VLOOKUP($E$32,Sheet4!$A$4:$S$65,16,FALSE),"")</f>
        <v/>
      </c>
      <c r="H40" s="217" t="str">
        <f>IFERROR(VLOOKUP($H$32,Sheet4!$A$4:$S$65,14,FALSE),"")</f>
        <v/>
      </c>
      <c r="I40" s="218">
        <f>IFERROR(VLOOKUP($H$32,Sheet4!$A$4:$S$65,15,FALSE),"")</f>
        <v>0</v>
      </c>
      <c r="J40" s="4" t="str">
        <f>IFERROR(VLOOKUP($H$32,Sheet4!$A$4:$S$65,16,FALSE),"")</f>
        <v/>
      </c>
      <c r="K40" s="217" t="str">
        <f>IFERROR(VLOOKUP($K$32,Sheet4!$A$4:$S$65,14,FALSE),"")</f>
        <v/>
      </c>
      <c r="L40" s="218">
        <f>IFERROR(VLOOKUP($K$32,Sheet4!$A$4:$S$65,15,FALSE),"")</f>
        <v>0</v>
      </c>
      <c r="M40" s="4" t="str">
        <f>IFERROR(VLOOKUP($K$32,Sheet4!$A$4:$S$65,16,FALSE),"")</f>
        <v/>
      </c>
      <c r="N40" s="217" t="str">
        <f>IFERROR(VLOOKUP($N$32,Sheet4!$A$4:$S$65,14,FALSE),"")</f>
        <v/>
      </c>
      <c r="O40" s="218">
        <f>IFERROR(VLOOKUP($N$32,Sheet4!$A$4:$S$65,15,FALSE),"")</f>
        <v>0</v>
      </c>
      <c r="P40" s="4" t="str">
        <f>IFERROR(VLOOKUP($N$32,Sheet4!$A$4:$S$65,16,FALSE),"")</f>
        <v/>
      </c>
      <c r="Q40" s="217" t="str">
        <f>IFERROR(VLOOKUP($Q$32,Sheet4!$A$4:$S$65,14,FALSE),"")</f>
        <v/>
      </c>
      <c r="R40" s="218">
        <f>IFERROR(VLOOKUP($Q$32,Sheet4!$A$4:$S$65,15,FALSE),"")</f>
        <v>0</v>
      </c>
      <c r="S40" s="4" t="str">
        <f>IFERROR(VLOOKUP($Q$32,Sheet4!$A$4:$S$65,16,FALSE),"")</f>
        <v/>
      </c>
      <c r="T40" s="217" t="str">
        <f>IFERROR(VLOOKUP($T$32,Sheet4!$A$4:$S$65,14,FALSE),"")</f>
        <v/>
      </c>
      <c r="U40" s="218">
        <f>IFERROR(VLOOKUP($T$32,Sheet4!$A$4:$S$65,15,FALSE),"")</f>
        <v>0</v>
      </c>
      <c r="V40" s="4" t="str">
        <f>IFERROR(VLOOKUP($T$32,Sheet4!$A$4:$S$65,16,FALSE),"")</f>
        <v/>
      </c>
    </row>
    <row r="41" spans="1:22" ht="15.95" customHeight="1" x14ac:dyDescent="0.25">
      <c r="A41" s="31" t="str">
        <f>IF(DevMode!B11="","Unused",DevMode!B11)</f>
        <v>Rover 2 (FC-372)</v>
      </c>
      <c r="B41" s="217" t="str">
        <f>IFERROR(VLOOKUP($B$32,Sheet4!$A$4:$S$65,17,FALSE),"")</f>
        <v/>
      </c>
      <c r="C41" s="218">
        <f>IFERROR(VLOOKUP($B$32,Sheet4!$A$4:$S$65,18,FALSE),"")</f>
        <v>0</v>
      </c>
      <c r="D41" s="4" t="str">
        <f>IFERROR(VLOOKUP($B$32,Sheet4!$A$4:$S$65,19,FALSE),"")</f>
        <v/>
      </c>
      <c r="E41" s="217" t="str">
        <f>IFERROR(VLOOKUP($E$32,Sheet4!$A$4:$S$65,17,FALSE),"")</f>
        <v/>
      </c>
      <c r="F41" s="218">
        <f>IFERROR(VLOOKUP($E$32,Sheet4!$A$4:$S$65,18,FALSE),"")</f>
        <v>0</v>
      </c>
      <c r="G41" s="4" t="str">
        <f>IFERROR(VLOOKUP($E$32,Sheet4!$A$4:$S$65,19,FALSE),"")</f>
        <v/>
      </c>
      <c r="H41" s="217" t="str">
        <f>IFERROR(VLOOKUP($H$32,Sheet4!$A$4:$S$65,17,FALSE),"")</f>
        <v/>
      </c>
      <c r="I41" s="218">
        <f>IFERROR(VLOOKUP($H$32,Sheet4!$A$4:$S$65,18,FALSE),"")</f>
        <v>0</v>
      </c>
      <c r="J41" s="4" t="str">
        <f>IFERROR(VLOOKUP($H$32,Sheet4!$A$4:$S$65,19,FALSE),"")</f>
        <v/>
      </c>
      <c r="K41" s="217" t="str">
        <f>IFERROR(VLOOKUP($K$32,Sheet4!$A$4:$S$65,17,FALSE),"")</f>
        <v/>
      </c>
      <c r="L41" s="218">
        <f>IFERROR(VLOOKUP($K$32,Sheet4!$A$4:$S$65,18,FALSE),"")</f>
        <v>0</v>
      </c>
      <c r="M41" s="4" t="str">
        <f>IFERROR(VLOOKUP($K$32,Sheet4!$A$4:$S$65,19,FALSE),"")</f>
        <v/>
      </c>
      <c r="N41" s="217" t="str">
        <f>IFERROR(VLOOKUP($N$32,Sheet4!$A$4:$S$65,17,FALSE),"")</f>
        <v/>
      </c>
      <c r="O41" s="218">
        <f>IFERROR(VLOOKUP($N$32,Sheet4!$A$4:$S$65,18,FALSE),"")</f>
        <v>0</v>
      </c>
      <c r="P41" s="4" t="str">
        <f>IFERROR(VLOOKUP($N$32,Sheet4!$A$4:$S$65,19,FALSE),"")</f>
        <v/>
      </c>
      <c r="Q41" s="217" t="str">
        <f>IFERROR(VLOOKUP($Q$32,Sheet4!$A$4:$S$65,17,FALSE),"")</f>
        <v/>
      </c>
      <c r="R41" s="218">
        <f>IFERROR(VLOOKUP($Q$32,Sheet4!$A$4:$S$65,18,FALSE),"")</f>
        <v>0</v>
      </c>
      <c r="S41" s="4" t="str">
        <f>IFERROR(VLOOKUP($Q$32,Sheet4!$A$4:$S$65,19,FALSE),"")</f>
        <v/>
      </c>
      <c r="T41" s="217" t="str">
        <f>IFERROR(VLOOKUP($T$32,Sheet4!$A$4:$S$65,17,FALSE),"")</f>
        <v/>
      </c>
      <c r="U41" s="218">
        <f>IFERROR(VLOOKUP($T$32,Sheet4!$A$4:$S$65,18,FALSE),"")</f>
        <v>0</v>
      </c>
      <c r="V41" s="4" t="str">
        <f>IFERROR(VLOOKUP($T$32,Sheet4!$A$4:$S$65,19,FALSE),"")</f>
        <v/>
      </c>
    </row>
    <row r="42" spans="1:22" ht="15.95" customHeight="1" x14ac:dyDescent="0.25">
      <c r="A42" s="31" t="str">
        <f>IF(DevMode!B12="","Unused",DevMode!B12)</f>
        <v>DNCO (FC-481)</v>
      </c>
      <c r="B42" s="217" t="str">
        <f>IFERROR(VLOOKUP($B$32,Sheet5!$A$4:$M$63,2,FALSE),"")</f>
        <v/>
      </c>
      <c r="C42" s="218">
        <f>IFERROR(VLOOKUP($B$32,Sheet5!$A$4:$M$63,3,FALSE),"")</f>
        <v>0</v>
      </c>
      <c r="D42" s="4" t="str">
        <f>IFERROR(VLOOKUP($B$32,Sheet5!$A$4:$M$63,4,FALSE),"")</f>
        <v/>
      </c>
      <c r="E42" s="217" t="str">
        <f>IFERROR(VLOOKUP($E$32,Sheet5!$A$4:$M$63,2,FALSE),"")</f>
        <v/>
      </c>
      <c r="F42" s="218">
        <f>IFERROR(VLOOKUP($E$32,Sheet5!$A$4:$M$63,3,FALSE),"")</f>
        <v>0</v>
      </c>
      <c r="G42" s="4" t="str">
        <f>IFERROR(VLOOKUP($E$32,Sheet5!$A$4:$M$63,4,FALSE),"")</f>
        <v/>
      </c>
      <c r="H42" s="217" t="str">
        <f>IFERROR(VLOOKUP($H$32,Sheet5!$A$4:$M$63,2,FALSE),"")</f>
        <v/>
      </c>
      <c r="I42" s="218">
        <f>IFERROR(VLOOKUP($H$32,Sheet5!$A$4:$M$63,3,FALSE),"")</f>
        <v>0</v>
      </c>
      <c r="J42" s="4" t="str">
        <f>IFERROR(VLOOKUP($H$32,Sheet5!$A$4:$M$63,4,FALSE),"")</f>
        <v/>
      </c>
      <c r="K42" s="217" t="str">
        <f>IFERROR(VLOOKUP($K$32,Sheet5!$A$4:$M$63,2,FALSE),"")</f>
        <v/>
      </c>
      <c r="L42" s="218">
        <f>IFERROR(VLOOKUP($K$32,Sheet5!$A$4:$M$63,3,FALSE),"")</f>
        <v>0</v>
      </c>
      <c r="M42" s="4" t="str">
        <f>IFERROR(VLOOKUP($K$32,Sheet5!$A$4:$M$63,4,FALSE),"")</f>
        <v/>
      </c>
      <c r="N42" s="217" t="str">
        <f>IFERROR(VLOOKUP($N$32,Sheet5!$A$4:$M$63,2,FALSE),"")</f>
        <v/>
      </c>
      <c r="O42" s="218">
        <f>IFERROR(VLOOKUP($N$32,Sheet5!$A$4:$M$63,3,FALSE),"")</f>
        <v>0</v>
      </c>
      <c r="P42" s="4" t="str">
        <f>IFERROR(VLOOKUP($N$32,Sheet5!$A$4:$M$63,4,FALSE),"")</f>
        <v/>
      </c>
      <c r="Q42" s="217" t="str">
        <f>IFERROR(VLOOKUP($Q$32,Sheet5!$A$4:$M$63,2,FALSE),"")</f>
        <v/>
      </c>
      <c r="R42" s="218">
        <f>IFERROR(VLOOKUP($Q$32,Sheet5!$A$4:$M$63,3,FALSE),"")</f>
        <v>0</v>
      </c>
      <c r="S42" s="4" t="str">
        <f>IFERROR(VLOOKUP($Q$32,Sheet5!$A$4:$M$63,4,FALSE),"")</f>
        <v/>
      </c>
      <c r="T42" s="217" t="str">
        <f>IFERROR(VLOOKUP($T$32,Sheet5!$A$4:$M$63,2,FALSE),"")</f>
        <v/>
      </c>
      <c r="U42" s="218">
        <f>IFERROR(VLOOKUP($T$32,Sheet5!$A$4:$M$63,3,FALSE),"")</f>
        <v>0</v>
      </c>
      <c r="V42" s="4" t="str">
        <f>IFERROR(VLOOKUP($T$32,Sheet5!$A$4:$M$63,4,FALSE),"")</f>
        <v/>
      </c>
    </row>
    <row r="43" spans="1:22" ht="15.95" customHeight="1" x14ac:dyDescent="0.25">
      <c r="A43" s="31" t="str">
        <f>IF(DevMode!B13="","Unused",DevMode!B13)</f>
        <v>ADNCO (FC-481)</v>
      </c>
      <c r="B43" s="217" t="str">
        <f>IFERROR(VLOOKUP($B$32,Sheet5!$A$4:$M$63,5,FALSE),"")</f>
        <v/>
      </c>
      <c r="C43" s="218">
        <f>IFERROR(VLOOKUP($B$32,Sheet5!$A$4:$M$63,6,FALSE),"")</f>
        <v>0</v>
      </c>
      <c r="D43" s="4" t="str">
        <f>IFERROR(VLOOKUP($B$32,Sheet5!$A$4:$M$63,7,FALSE),"")</f>
        <v/>
      </c>
      <c r="E43" s="217" t="str">
        <f>IFERROR(VLOOKUP($E$32,Sheet5!$A$4:$M$63,5,FALSE),"")</f>
        <v/>
      </c>
      <c r="F43" s="218">
        <f>IFERROR(VLOOKUP($E$32,Sheet5!$A$4:$M$63,6,FALSE),"")</f>
        <v>0</v>
      </c>
      <c r="G43" s="4" t="str">
        <f>IFERROR(VLOOKUP($E$32,Sheet5!$A$4:$M$63,7,FALSE),"")</f>
        <v/>
      </c>
      <c r="H43" s="217" t="str">
        <f>IFERROR(VLOOKUP($H$32,Sheet5!$A$4:$M$63,5,FALSE),"")</f>
        <v/>
      </c>
      <c r="I43" s="218">
        <f>IFERROR(VLOOKUP($H$32,Sheet5!$A$4:$M$63,6,FALSE),"")</f>
        <v>0</v>
      </c>
      <c r="J43" s="4" t="str">
        <f>IFERROR(VLOOKUP($H$32,Sheet5!$A$4:$M$63,7,FALSE),"")</f>
        <v/>
      </c>
      <c r="K43" s="217" t="str">
        <f>IFERROR(VLOOKUP($K$32,Sheet5!$A$4:$M$63,5,FALSE),"")</f>
        <v/>
      </c>
      <c r="L43" s="218">
        <f>IFERROR(VLOOKUP($K$32,Sheet5!$A$4:$M$63,6,FALSE),"")</f>
        <v>0</v>
      </c>
      <c r="M43" s="4" t="str">
        <f>IFERROR(VLOOKUP($K$32,Sheet5!$A$4:$M$63,7,FALSE),"")</f>
        <v/>
      </c>
      <c r="N43" s="217" t="str">
        <f>IFERROR(VLOOKUP($N$32,Sheet5!$A$4:$M$63,5,FALSE),"")</f>
        <v/>
      </c>
      <c r="O43" s="218">
        <f>IFERROR(VLOOKUP($N$32,Sheet5!$A$4:$M$63,6,FALSE),"")</f>
        <v>0</v>
      </c>
      <c r="P43" s="4" t="str">
        <f>IFERROR(VLOOKUP($N$32,Sheet5!$A$4:$M$63,7,FALSE),"")</f>
        <v/>
      </c>
      <c r="Q43" s="217" t="str">
        <f>IFERROR(VLOOKUP($Q$32,Sheet5!$A$4:$M$63,5,FALSE),"")</f>
        <v/>
      </c>
      <c r="R43" s="218">
        <f>IFERROR(VLOOKUP($Q$32,Sheet5!$A$4:$M$63,6,FALSE),"")</f>
        <v>0</v>
      </c>
      <c r="S43" s="4" t="str">
        <f>IFERROR(VLOOKUP($Q$32,Sheet5!$A$4:$M$63,7,FALSE),"")</f>
        <v/>
      </c>
      <c r="T43" s="217" t="str">
        <f>IFERROR(VLOOKUP($T$32,Sheet5!$A$4:$M$63,5,FALSE),"")</f>
        <v/>
      </c>
      <c r="U43" s="218">
        <f>IFERROR(VLOOKUP($T$32,Sheet5!$A$4:$M$63,6,FALSE),"")</f>
        <v>0</v>
      </c>
      <c r="V43" s="4" t="str">
        <f>IFERROR(VLOOKUP($T$32,Sheet5!$A$4:$M$63,7,FALSE),"")</f>
        <v/>
      </c>
    </row>
    <row r="44" spans="1:22" ht="15.95" customHeight="1" x14ac:dyDescent="0.25">
      <c r="A44" s="31" t="str">
        <f>IF(DevMode!B14="","Unused",DevMode!B14)</f>
        <v>Rover 1 (FC-481)</v>
      </c>
      <c r="B44" s="217" t="str">
        <f>IFERROR(VLOOKUP($B$32,Sheet5!$A$4:$M$63,8,FALSE),"")</f>
        <v/>
      </c>
      <c r="C44" s="218">
        <f>IFERROR(VLOOKUP($B$32,Sheet5!$A$4:$M$63,9,FALSE),"")</f>
        <v>0</v>
      </c>
      <c r="D44" s="4" t="str">
        <f>IFERROR(VLOOKUP($B$32,Sheet5!$A$4:$M$63,10,FALSE),"")</f>
        <v/>
      </c>
      <c r="E44" s="217" t="str">
        <f>IFERROR(VLOOKUP($E$32,Sheet5!$A$4:$M$63,8,FALSE),"")</f>
        <v/>
      </c>
      <c r="F44" s="218">
        <f>IFERROR(VLOOKUP($E$32,Sheet5!$A$4:$M$63,9,FALSE),"")</f>
        <v>0</v>
      </c>
      <c r="G44" s="4" t="str">
        <f>IFERROR(VLOOKUP($E$32,Sheet5!$A$4:$M$63,10,FALSE),"")</f>
        <v/>
      </c>
      <c r="H44" s="217" t="str">
        <f>IFERROR(VLOOKUP($H$32,Sheet5!$A$4:$M$63,8,FALSE),"")</f>
        <v/>
      </c>
      <c r="I44" s="218">
        <f>IFERROR(VLOOKUP($H$32,Sheet5!$A$4:$M$63,9,FALSE),"")</f>
        <v>0</v>
      </c>
      <c r="J44" s="4" t="str">
        <f>IFERROR(VLOOKUP($H$32,Sheet5!$A$4:$M$63,10,FALSE),"")</f>
        <v/>
      </c>
      <c r="K44" s="217" t="str">
        <f>IFERROR(VLOOKUP($K$32,Sheet5!$A$4:$M$63,8,FALSE),"")</f>
        <v/>
      </c>
      <c r="L44" s="218">
        <f>IFERROR(VLOOKUP($K$32,Sheet5!$A$4:$M$63,9,FALSE),"")</f>
        <v>0</v>
      </c>
      <c r="M44" s="4" t="str">
        <f>IFERROR(VLOOKUP($K$32,Sheet5!$A$4:$M$63,10,FALSE),"")</f>
        <v/>
      </c>
      <c r="N44" s="217" t="str">
        <f>IFERROR(VLOOKUP($N$32,Sheet5!$A$4:$M$63,8,FALSE),"")</f>
        <v/>
      </c>
      <c r="O44" s="218">
        <f>IFERROR(VLOOKUP($N$32,Sheet5!$A$4:$M$63,9,FALSE),"")</f>
        <v>0</v>
      </c>
      <c r="P44" s="4" t="str">
        <f>IFERROR(VLOOKUP($N$32,Sheet5!$A$4:$M$63,10,FALSE),"")</f>
        <v/>
      </c>
      <c r="Q44" s="217" t="str">
        <f>IFERROR(VLOOKUP($Q$32,Sheet5!$A$4:$M$63,8,FALSE),"")</f>
        <v/>
      </c>
      <c r="R44" s="218">
        <f>IFERROR(VLOOKUP($Q$32,Sheet5!$A$4:$M$63,9,FALSE),"")</f>
        <v>0</v>
      </c>
      <c r="S44" s="4" t="str">
        <f>IFERROR(VLOOKUP($Q$32,Sheet5!$A$4:$M$63,10,FALSE),"")</f>
        <v/>
      </c>
      <c r="T44" s="217" t="str">
        <f>IFERROR(VLOOKUP($T$32,Sheet5!$A$4:$M$63,8,FALSE),"")</f>
        <v/>
      </c>
      <c r="U44" s="218">
        <f>IFERROR(VLOOKUP($T$32,Sheet5!$A$4:$M$63,9,FALSE),"")</f>
        <v>0</v>
      </c>
      <c r="V44" s="4" t="str">
        <f>IFERROR(VLOOKUP($T$32,Sheet5!$A$4:$M$63,10,FALSE),"")</f>
        <v/>
      </c>
    </row>
    <row r="45" spans="1:22" ht="15.95" customHeight="1" thickBot="1" x14ac:dyDescent="0.3">
      <c r="A45" s="31" t="str">
        <f>IF(DevMode!B15="","Unused",DevMode!B15)</f>
        <v>Rover 2 (FC-481)</v>
      </c>
      <c r="B45" s="219" t="str">
        <f>IFERROR(VLOOKUP($B$32,Sheet5!$A$4:$M$63,11,FALSE),"")</f>
        <v/>
      </c>
      <c r="C45" s="220">
        <f>IFERROR(VLOOKUP($B$32,Sheet5!$A$4:$M$63,12,FALSE),"")</f>
        <v>0</v>
      </c>
      <c r="D45" s="5" t="str">
        <f>IFERROR(VLOOKUP($B$32,Sheet5!$A$4:$M$63,13,FALSE),"")</f>
        <v/>
      </c>
      <c r="E45" s="219" t="str">
        <f>IFERROR(VLOOKUP($E$32,Sheet5!$A$4:$M$63,11,FALSE),"")</f>
        <v/>
      </c>
      <c r="F45" s="220">
        <f>IFERROR(VLOOKUP($E$32,Sheet5!$A$4:$M$63,12,FALSE),"")</f>
        <v>0</v>
      </c>
      <c r="G45" s="5" t="str">
        <f>IFERROR(VLOOKUP($E$32,Sheet5!$A$4:$M$63,13,FALSE),"")</f>
        <v/>
      </c>
      <c r="H45" s="219" t="str">
        <f>IFERROR(VLOOKUP($H$32,Sheet5!$A$4:$M$63,11,FALSE),"")</f>
        <v/>
      </c>
      <c r="I45" s="220">
        <f>IFERROR(VLOOKUP($H$32,Sheet5!$A$4:$M$63,12,FALSE),"")</f>
        <v>0</v>
      </c>
      <c r="J45" s="5" t="str">
        <f>IFERROR(VLOOKUP($H$32,Sheet5!$A$4:$M$63,13,FALSE),"")</f>
        <v/>
      </c>
      <c r="K45" s="219" t="str">
        <f>IFERROR(VLOOKUP($K$32,Sheet5!$A$4:$M$63,11,FALSE),"")</f>
        <v/>
      </c>
      <c r="L45" s="220">
        <f>IFERROR(VLOOKUP($K$32,Sheet5!$A$4:$M$63,12,FALSE),"")</f>
        <v>0</v>
      </c>
      <c r="M45" s="5" t="str">
        <f>IFERROR(VLOOKUP($K$32,Sheet5!$A$4:$M$63,13,FALSE),"")</f>
        <v/>
      </c>
      <c r="N45" s="219" t="str">
        <f>IFERROR(VLOOKUP($N$32,Sheet5!$A$4:$M$63,11,FALSE),"")</f>
        <v/>
      </c>
      <c r="O45" s="220">
        <f>IFERROR(VLOOKUP($N$32,Sheet5!$A$4:$M$63,12,FALSE),"")</f>
        <v>0</v>
      </c>
      <c r="P45" s="5" t="str">
        <f>IFERROR(VLOOKUP($N$32,Sheet5!$A$4:$M$63,13,FALSE),"")</f>
        <v/>
      </c>
      <c r="Q45" s="219" t="str">
        <f>IFERROR(VLOOKUP($Q$32,Sheet5!$A$4:$M$63,11,FALSE),"")</f>
        <v/>
      </c>
      <c r="R45" s="220">
        <f>IFERROR(VLOOKUP($Q$32,Sheet5!$A$4:$M$63,12,FALSE),"")</f>
        <v>0</v>
      </c>
      <c r="S45" s="5" t="str">
        <f>IFERROR(VLOOKUP($Q$32,Sheet5!$A$4:$M$63,13,FALSE),"")</f>
        <v/>
      </c>
      <c r="T45" s="219" t="str">
        <f>IFERROR(VLOOKUP($T$32,Sheet5!$A$4:$M$63,11,FALSE),"")</f>
        <v/>
      </c>
      <c r="U45" s="220">
        <f>IFERROR(VLOOKUP($T$32,Sheet5!$A$4:$M$63,12,FALSE),"")</f>
        <v>0</v>
      </c>
      <c r="V45" s="5" t="str">
        <f>IFERROR(VLOOKUP($T$32,Sheet5!$A$4:$M$63,13,FALSE),"")</f>
        <v/>
      </c>
    </row>
    <row r="46" spans="1:22" ht="15.95" customHeight="1" thickBot="1" x14ac:dyDescent="0.3">
      <c r="A46" s="1"/>
      <c r="B46" s="2" t="str">
        <f>IFERROR(T32+1,"")</f>
        <v/>
      </c>
      <c r="C46" s="351"/>
      <c r="D46" s="352"/>
      <c r="E46" s="2" t="str">
        <f>IFERROR(B46+1,"")</f>
        <v/>
      </c>
      <c r="F46" s="351"/>
      <c r="G46" s="352"/>
      <c r="H46" s="2" t="str">
        <f>IFERROR(E46+1,"")</f>
        <v/>
      </c>
      <c r="I46" s="351"/>
      <c r="J46" s="352"/>
      <c r="K46" s="2" t="str">
        <f>IFERROR(H46+1,"")</f>
        <v/>
      </c>
      <c r="L46" s="351"/>
      <c r="M46" s="352"/>
      <c r="N46" s="2" t="str">
        <f>IFERROR(K46+1,"")</f>
        <v/>
      </c>
      <c r="O46" s="351"/>
      <c r="P46" s="352"/>
      <c r="Q46" s="2" t="str">
        <f>IFERROR(N46+1,"")</f>
        <v/>
      </c>
      <c r="R46" s="351"/>
      <c r="S46" s="352"/>
      <c r="T46" s="2" t="str">
        <f>IFERROR(Q46+1,"")</f>
        <v/>
      </c>
      <c r="U46" s="351"/>
      <c r="V46" s="352"/>
    </row>
    <row r="47" spans="1:22" ht="15.95" customHeight="1" x14ac:dyDescent="0.25">
      <c r="A47" s="31" t="str">
        <f>IF(DevMode!B3="","Unused",DevMode!B3)</f>
        <v>OOD (FC-300)</v>
      </c>
      <c r="B47" s="215" t="str">
        <f>IFERROR(VLOOKUP($B$46,Sheet2!$A$4:$J$63,2,FALSE),"")</f>
        <v/>
      </c>
      <c r="C47" s="216">
        <f>IFERROR(VLOOKUP($B$46,Sheet2!$A$4:$J$63,3,FALSE),"")</f>
        <v>0</v>
      </c>
      <c r="D47" s="3">
        <f>IFERROR(VLOOKUP($B$46,Sheet2!$A$4:$J$63,4,FALSE),"")</f>
        <v>0</v>
      </c>
      <c r="E47" s="215" t="str">
        <f>IFERROR(VLOOKUP($E$46,Sheet2!$A$4:$J$63,2,FALSE),"")</f>
        <v/>
      </c>
      <c r="F47" s="216">
        <f>IFERROR(VLOOKUP($E$46,Sheet2!$A$4:$J$63,3,FALSE),"")</f>
        <v>0</v>
      </c>
      <c r="G47" s="3">
        <f>IFERROR(VLOOKUP($E$46,Sheet2!$A$4:$J$63,4,FALSE),"")</f>
        <v>0</v>
      </c>
      <c r="H47" s="215" t="str">
        <f>IFERROR(VLOOKUP($H$46,Sheet2!$A$4:$J$63,2,FALSE),"")</f>
        <v/>
      </c>
      <c r="I47" s="216">
        <f>IFERROR(VLOOKUP($H$46,Sheet2!$A$4:$J$63,3,FALSE),"")</f>
        <v>0</v>
      </c>
      <c r="J47" s="3">
        <f>IFERROR(VLOOKUP($H$46,Sheet2!$A$4:$J$63,4,FALSE),"")</f>
        <v>0</v>
      </c>
      <c r="K47" s="215" t="str">
        <f>IFERROR(VLOOKUP($K$46,Sheet2!$A$4:$J$63,2,FALSE),"")</f>
        <v/>
      </c>
      <c r="L47" s="216">
        <f>IFERROR(VLOOKUP($K$46,Sheet2!$A$4:$J$63,3,FALSE),"")</f>
        <v>0</v>
      </c>
      <c r="M47" s="3">
        <f>IFERROR(VLOOKUP($K$46,Sheet2!$A$4:$J$63,4,FALSE),"")</f>
        <v>0</v>
      </c>
      <c r="N47" s="215" t="str">
        <f>IFERROR(VLOOKUP($N$46,Sheet2!$A$4:$J$63,2,FALSE),"")</f>
        <v/>
      </c>
      <c r="O47" s="216">
        <f>IFERROR(VLOOKUP($N$46,Sheet2!$A$4:$J$63,3,FALSE),"")</f>
        <v>0</v>
      </c>
      <c r="P47" s="3">
        <f>IFERROR(VLOOKUP($N$46,Sheet2!$A$4:$J$63,4,FALSE),"")</f>
        <v>0</v>
      </c>
      <c r="Q47" s="215" t="str">
        <f>IFERROR(VLOOKUP($Q$46,Sheet2!$A$4:$J$63,2,FALSE),"")</f>
        <v/>
      </c>
      <c r="R47" s="216">
        <f>IFERROR(VLOOKUP($Q$46,Sheet2!$A$4:$J$63,3,FALSE),"")</f>
        <v>0</v>
      </c>
      <c r="S47" s="3">
        <f>IFERROR(VLOOKUP($Q$46,Sheet2!$A$4:$J$63,4,FALSE),"")</f>
        <v>0</v>
      </c>
      <c r="T47" s="215" t="str">
        <f>IFERROR(VLOOKUP($T$46,Sheet2!$A$4:$J$63,2,FALSE),"")</f>
        <v/>
      </c>
      <c r="U47" s="216">
        <f>IFERROR(VLOOKUP($T$46,Sheet2!$A$4:$J$63,3,FALSE),"")</f>
        <v>0</v>
      </c>
      <c r="V47" s="3">
        <f>IFERROR(VLOOKUP($T$46,Sheet2!$A$4:$J$63,4,FALSE),"")</f>
        <v>0</v>
      </c>
    </row>
    <row r="48" spans="1:22" ht="15.95" customHeight="1" x14ac:dyDescent="0.25">
      <c r="A48" s="31" t="str">
        <f>IF(DevMode!B4="","Unused",DevMode!B4)</f>
        <v>AOOD (FC-300)</v>
      </c>
      <c r="B48" s="217" t="str">
        <f>IFERROR(VLOOKUP($B$46,Sheet2!$A$4:$J$63,5,FALSE),"")</f>
        <v/>
      </c>
      <c r="C48" s="218">
        <f>IFERROR(VLOOKUP($B$46,Sheet2!$A$4:$J$63,6,FALSE),"")</f>
        <v>0</v>
      </c>
      <c r="D48" s="4" t="str">
        <f>IFERROR(VLOOKUP($B$46,Sheet2!$A$4:$J$63,7,FALSE),"")</f>
        <v/>
      </c>
      <c r="E48" s="217" t="str">
        <f>IFERROR(VLOOKUP($E$46,Sheet2!$A$4:$J$63,5,FALSE),"")</f>
        <v/>
      </c>
      <c r="F48" s="218">
        <f>IFERROR(VLOOKUP($E$46,Sheet2!$A$4:$J$63,6,FALSE),"")</f>
        <v>0</v>
      </c>
      <c r="G48" s="4" t="str">
        <f>IFERROR(VLOOKUP($E$46,Sheet2!$A$4:$J$63,7,FALSE),"")</f>
        <v/>
      </c>
      <c r="H48" s="217" t="str">
        <f>IFERROR(VLOOKUP($H$46,Sheet2!$A$4:$J$63,5,FALSE),"")</f>
        <v/>
      </c>
      <c r="I48" s="218">
        <f>IFERROR(VLOOKUP($H$46,Sheet2!$A$4:$J$63,6,FALSE),"")</f>
        <v>0</v>
      </c>
      <c r="J48" s="4" t="str">
        <f>IFERROR(VLOOKUP($H$46,Sheet2!$A$4:$J$63,7,FALSE),"")</f>
        <v/>
      </c>
      <c r="K48" s="217" t="str">
        <f>IFERROR(VLOOKUP($K$46,Sheet2!$A$4:$J$63,5,FALSE),"")</f>
        <v/>
      </c>
      <c r="L48" s="218">
        <f>IFERROR(VLOOKUP($K$46,Sheet2!$A$4:$J$63,6,FALSE),"")</f>
        <v>0</v>
      </c>
      <c r="M48" s="4" t="str">
        <f>IFERROR(VLOOKUP($K$46,Sheet2!$A$4:$J$63,7,FALSE),"")</f>
        <v/>
      </c>
      <c r="N48" s="217" t="str">
        <f>IFERROR(VLOOKUP($N$46,Sheet2!$A$4:$J$63,5,FALSE),"")</f>
        <v/>
      </c>
      <c r="O48" s="218">
        <f>IFERROR(VLOOKUP($N$46,Sheet2!$A$4:$J$63,6,FALSE),"")</f>
        <v>0</v>
      </c>
      <c r="P48" s="4" t="str">
        <f>IFERROR(VLOOKUP($N$46,Sheet2!$A$4:$J$63,7,FALSE),"")</f>
        <v/>
      </c>
      <c r="Q48" s="217" t="str">
        <f>IFERROR(VLOOKUP($Q$46,Sheet2!$A$4:$J$63,5,FALSE),"")</f>
        <v/>
      </c>
      <c r="R48" s="218">
        <f>IFERROR(VLOOKUP($Q$46,Sheet2!$A$4:$J$63,6,FALSE),"")</f>
        <v>0</v>
      </c>
      <c r="S48" s="4" t="str">
        <f>IFERROR(VLOOKUP($Q$46,Sheet2!$A$4:$J$63,7,FALSE),"")</f>
        <v/>
      </c>
      <c r="T48" s="217" t="str">
        <f>IFERROR(VLOOKUP($T$46,Sheet2!$A$4:$J$63,5,FALSE),"")</f>
        <v/>
      </c>
      <c r="U48" s="218">
        <f>IFERROR(VLOOKUP($T$46,Sheet2!$A$4:$J$63,6,FALSE),"")</f>
        <v>0</v>
      </c>
      <c r="V48" s="4" t="str">
        <f>IFERROR(VLOOKUP($T$46,Sheet2!$A$4:$J$63,7,FALSE),"")</f>
        <v/>
      </c>
    </row>
    <row r="49" spans="1:22" ht="15.95" customHeight="1" x14ac:dyDescent="0.25">
      <c r="A49" s="31" t="str">
        <f>IF(DevMode!B5="","Unused",DevMode!B5)</f>
        <v>Duty Driver (FC-300)</v>
      </c>
      <c r="B49" s="217" t="str">
        <f>IFERROR(VLOOKUP($B$46,Sheet2!$A$4:$J$63,8,FALSE),"")</f>
        <v/>
      </c>
      <c r="C49" s="218">
        <f>IFERROR(VLOOKUP($B$46,Sheet2!$A$4:$J$63,9,FALSE),"")</f>
        <v>0</v>
      </c>
      <c r="D49" s="4" t="str">
        <f>IFERROR(VLOOKUP($B$46,Sheet2!$A$4:$J$63,10,FALSE),"")</f>
        <v/>
      </c>
      <c r="E49" s="217" t="str">
        <f>IFERROR(VLOOKUP($E$46,Sheet2!$A$4:$J$63,8,FALSE),"")</f>
        <v/>
      </c>
      <c r="F49" s="218">
        <f>IFERROR(VLOOKUP($E$46,Sheet2!$A$4:$J$63,9,FALSE),"")</f>
        <v>0</v>
      </c>
      <c r="G49" s="4" t="str">
        <f>IFERROR(VLOOKUP($E$46,Sheet2!$A$4:$J$63,10,FALSE),"")</f>
        <v/>
      </c>
      <c r="H49" s="217" t="str">
        <f>IFERROR(VLOOKUP($H$46,Sheet2!$A$4:$J$63,8,FALSE),"")</f>
        <v/>
      </c>
      <c r="I49" s="218">
        <f>IFERROR(VLOOKUP($H$46,Sheet2!$A$4:$J$63,9,FALSE),"")</f>
        <v>0</v>
      </c>
      <c r="J49" s="4" t="str">
        <f>IFERROR(VLOOKUP($H$46,Sheet2!$A$4:$J$63,10,FALSE),"")</f>
        <v/>
      </c>
      <c r="K49" s="217" t="str">
        <f>IFERROR(VLOOKUP($K$46,Sheet2!$A$4:$J$63,8,FALSE),"")</f>
        <v/>
      </c>
      <c r="L49" s="218">
        <f>IFERROR(VLOOKUP($K$46,Sheet2!$A$4:$J$63,9,FALSE),"")</f>
        <v>0</v>
      </c>
      <c r="M49" s="4" t="str">
        <f>IFERROR(VLOOKUP($K$46,Sheet2!$A$4:$J$63,10,FALSE),"")</f>
        <v/>
      </c>
      <c r="N49" s="217" t="str">
        <f>IFERROR(VLOOKUP($N$46,Sheet2!$A$4:$J$63,8,FALSE),"")</f>
        <v/>
      </c>
      <c r="O49" s="218">
        <f>IFERROR(VLOOKUP($N$46,Sheet2!$A$4:$J$63,9,FALSE),"")</f>
        <v>0</v>
      </c>
      <c r="P49" s="4" t="str">
        <f>IFERROR(VLOOKUP($N$46,Sheet2!$A$4:$J$63,10,FALSE),"")</f>
        <v/>
      </c>
      <c r="Q49" s="217" t="str">
        <f>IFERROR(VLOOKUP($Q$46,Sheet2!$A$4:$J$63,8,FALSE),"")</f>
        <v/>
      </c>
      <c r="R49" s="218">
        <f>IFERROR(VLOOKUP($Q$46,Sheet2!$A$4:$J$63,9,FALSE),"")</f>
        <v>0</v>
      </c>
      <c r="S49" s="4" t="str">
        <f>IFERROR(VLOOKUP($Q$46,Sheet2!$A$4:$J$63,10,FALSE),"")</f>
        <v/>
      </c>
      <c r="T49" s="217" t="str">
        <f>IFERROR(VLOOKUP($T$46,Sheet2!$A$4:$J$63,8,FALSE),"")</f>
        <v/>
      </c>
      <c r="U49" s="218">
        <f>IFERROR(VLOOKUP($T$46,Sheet2!$A$4:$J$63,9,FALSE),"")</f>
        <v>0</v>
      </c>
      <c r="V49" s="4" t="str">
        <f>IFERROR(VLOOKUP($T$46,Sheet2!$A$4:$J$63,10,FALSE),"")</f>
        <v/>
      </c>
    </row>
    <row r="50" spans="1:22" ht="15.95" customHeight="1" x14ac:dyDescent="0.25">
      <c r="A50" s="31" t="str">
        <f>IF(DevMode!B6="","Unused",DevMode!B6)</f>
        <v>DNCO (FC-370)</v>
      </c>
      <c r="B50" s="217" t="str">
        <f>IFERROR(VLOOKUP($B$46,Sheet4!$A$4:$S$65,2,FALSE),"")</f>
        <v/>
      </c>
      <c r="C50" s="218">
        <f>IFERROR(VLOOKUP($B$46,Sheet4!$A$4:$S$65,3,FALSE),"")</f>
        <v>0</v>
      </c>
      <c r="D50" s="4" t="str">
        <f>IFERROR(VLOOKUP($B$46,Sheet4!$A$4:$S$65,4,FALSE),"")</f>
        <v/>
      </c>
      <c r="E50" s="217" t="str">
        <f>IFERROR(VLOOKUP($E$46,Sheet4!$A$4:$S$65,2,FALSE),"")</f>
        <v/>
      </c>
      <c r="F50" s="218">
        <f>IFERROR(VLOOKUP($E$46,Sheet4!$A$4:$S$65,3,FALSE),"")</f>
        <v>0</v>
      </c>
      <c r="G50" s="4" t="str">
        <f>IFERROR(VLOOKUP($E$46,Sheet4!$A$4:$S$65,4,FALSE),"")</f>
        <v/>
      </c>
      <c r="H50" s="217" t="str">
        <f>IFERROR(VLOOKUP($H$46,Sheet4!$A$4:$S$65,2,FALSE),"")</f>
        <v/>
      </c>
      <c r="I50" s="218">
        <f>IFERROR(VLOOKUP($H$46,Sheet4!$A$4:$S$65,3,FALSE),"")</f>
        <v>0</v>
      </c>
      <c r="J50" s="4" t="str">
        <f>IFERROR(VLOOKUP($H$46,Sheet4!$A$4:$S$65,4,FALSE),"")</f>
        <v/>
      </c>
      <c r="K50" s="217" t="str">
        <f>IFERROR(VLOOKUP($K$46,Sheet4!$A$4:$S$65,2,FALSE),"")</f>
        <v/>
      </c>
      <c r="L50" s="218">
        <f>IFERROR(VLOOKUP($K$46,Sheet4!$A$4:$S$65,3,FALSE),"")</f>
        <v>0</v>
      </c>
      <c r="M50" s="4" t="str">
        <f>IFERROR(VLOOKUP($K$46,Sheet4!$A$4:$S$65,4,FALSE),"")</f>
        <v/>
      </c>
      <c r="N50" s="217" t="str">
        <f>IFERROR(VLOOKUP($N$46,Sheet4!$A$4:$S$65,2,FALSE),"")</f>
        <v/>
      </c>
      <c r="O50" s="218">
        <f>IFERROR(VLOOKUP($N$46,Sheet4!$A$4:$S$65,3,FALSE),"")</f>
        <v>0</v>
      </c>
      <c r="P50" s="4" t="str">
        <f>IFERROR(VLOOKUP($N$46,Sheet4!$A$4:$S$65,4,FALSE),"")</f>
        <v/>
      </c>
      <c r="Q50" s="217" t="str">
        <f>IFERROR(VLOOKUP($Q$46,Sheet4!$A$4:$S$65,2,FALSE),"")</f>
        <v/>
      </c>
      <c r="R50" s="218">
        <f>IFERROR(VLOOKUP($Q$46,Sheet4!$A$4:$S$65,3,FALSE),"")</f>
        <v>0</v>
      </c>
      <c r="S50" s="4" t="str">
        <f>IFERROR(VLOOKUP($Q$46,Sheet4!$A$4:$S$65,4,FALSE),"")</f>
        <v/>
      </c>
      <c r="T50" s="217" t="str">
        <f>IFERROR(VLOOKUP($T$46,Sheet4!$A$4:$S$65,2,FALSE),"")</f>
        <v/>
      </c>
      <c r="U50" s="218">
        <f>IFERROR(VLOOKUP($T$46,Sheet4!$A$4:$S$65,3,FALSE),"")</f>
        <v>0</v>
      </c>
      <c r="V50" s="4" t="str">
        <f>IFERROR(VLOOKUP($T$46,Sheet4!$A$4:$S$65,4,FALSE),"")</f>
        <v/>
      </c>
    </row>
    <row r="51" spans="1:22" ht="15.95" customHeight="1" x14ac:dyDescent="0.25">
      <c r="A51" s="31" t="str">
        <f>IF(DevMode!B7="","Unused",DevMode!B7)</f>
        <v>ADNCO (FC-370)</v>
      </c>
      <c r="B51" s="217" t="str">
        <f>IFERROR(VLOOKUP($B$46,Sheet4!$A$4:$S$65,5,FALSE),"")</f>
        <v/>
      </c>
      <c r="C51" s="218">
        <f>IFERROR(VLOOKUP($B$46,Sheet4!$A$4:$S$65,6,FALSE),"")</f>
        <v>0</v>
      </c>
      <c r="D51" s="4" t="str">
        <f>IFERROR(VLOOKUP($B$46,Sheet4!$A$4:$S$65,7,FALSE),"")</f>
        <v/>
      </c>
      <c r="E51" s="217" t="str">
        <f>IFERROR(VLOOKUP($E$46,Sheet4!$A$4:$S$65,5,FALSE),"")</f>
        <v/>
      </c>
      <c r="F51" s="218">
        <f>IFERROR(VLOOKUP($E$46,Sheet4!$A$4:$S$65,6,FALSE),"")</f>
        <v>0</v>
      </c>
      <c r="G51" s="4" t="str">
        <f>IFERROR(VLOOKUP($E$46,Sheet4!$A$4:$S$65,7,FALSE),"")</f>
        <v/>
      </c>
      <c r="H51" s="217" t="str">
        <f>IFERROR(VLOOKUP($H$46,Sheet4!$A$4:$S$65,5,FALSE),"")</f>
        <v/>
      </c>
      <c r="I51" s="218">
        <f>IFERROR(VLOOKUP($H$46,Sheet4!$A$4:$S$65,6,FALSE),"")</f>
        <v>0</v>
      </c>
      <c r="J51" s="4" t="str">
        <f>IFERROR(VLOOKUP($H$46,Sheet4!$A$4:$S$65,7,FALSE),"")</f>
        <v/>
      </c>
      <c r="K51" s="217" t="str">
        <f>IFERROR(VLOOKUP($K$46,Sheet4!$A$4:$S$65,5,FALSE),"")</f>
        <v/>
      </c>
      <c r="L51" s="218">
        <f>IFERROR(VLOOKUP($K$46,Sheet4!$A$4:$S$65,6,FALSE),"")</f>
        <v>0</v>
      </c>
      <c r="M51" s="4" t="str">
        <f>IFERROR(VLOOKUP($K$46,Sheet4!$A$4:$S$65,7,FALSE),"")</f>
        <v/>
      </c>
      <c r="N51" s="217" t="str">
        <f>IFERROR(VLOOKUP($N$46,Sheet4!$A$4:$S$65,5,FALSE),"")</f>
        <v/>
      </c>
      <c r="O51" s="218">
        <f>IFERROR(VLOOKUP($N$46,Sheet4!$A$4:$S$65,6,FALSE),"")</f>
        <v>0</v>
      </c>
      <c r="P51" s="4" t="str">
        <f>IFERROR(VLOOKUP($N$46,Sheet4!$A$4:$S$65,7,FALSE),"")</f>
        <v/>
      </c>
      <c r="Q51" s="217" t="str">
        <f>IFERROR(VLOOKUP($Q$46,Sheet4!$A$4:$S$65,5,FALSE),"")</f>
        <v/>
      </c>
      <c r="R51" s="218">
        <f>IFERROR(VLOOKUP($Q$46,Sheet4!$A$4:$S$65,6,FALSE),"")</f>
        <v>0</v>
      </c>
      <c r="S51" s="4" t="str">
        <f>IFERROR(VLOOKUP($Q$46,Sheet4!$A$4:$S$65,7,FALSE),"")</f>
        <v/>
      </c>
      <c r="T51" s="217" t="str">
        <f>IFERROR(VLOOKUP($T$46,Sheet4!$A$4:$S$65,5,FALSE),"")</f>
        <v/>
      </c>
      <c r="U51" s="218">
        <f>IFERROR(VLOOKUP($T$46,Sheet4!$A$4:$S$65,6,FALSE),"")</f>
        <v>0</v>
      </c>
      <c r="V51" s="4" t="str">
        <f>IFERROR(VLOOKUP($T$46,Sheet4!$A$4:$S$65,7,FALSE),"")</f>
        <v/>
      </c>
    </row>
    <row r="52" spans="1:22" ht="15.95" customHeight="1" x14ac:dyDescent="0.25">
      <c r="A52" s="31" t="str">
        <f>IF(DevMode!B8="","Unused",DevMode!B8)</f>
        <v>Rover 1 (FC-371)</v>
      </c>
      <c r="B52" s="217" t="str">
        <f>IFERROR(VLOOKUP($B$46,Sheet4!$A$4:$S$65,8,FALSE),"")</f>
        <v/>
      </c>
      <c r="C52" s="218">
        <f>IFERROR(VLOOKUP($B$46,Sheet4!$A$4:$S$65,9,FALSE),"")</f>
        <v>0</v>
      </c>
      <c r="D52" s="4" t="str">
        <f>IFERROR(VLOOKUP($B$46,Sheet4!$A$4:$S$65,10,FALSE),"")</f>
        <v/>
      </c>
      <c r="E52" s="217" t="str">
        <f>IFERROR(VLOOKUP($E$46,Sheet4!$A$4:$S$65,8,FALSE),"")</f>
        <v/>
      </c>
      <c r="F52" s="218">
        <f>IFERROR(VLOOKUP($E$46,Sheet4!$A$4:$S$65,9,FALSE),"")</f>
        <v>0</v>
      </c>
      <c r="G52" s="4" t="str">
        <f>IFERROR(VLOOKUP($E$46,Sheet4!$A$4:$S$65,10,FALSE),"")</f>
        <v/>
      </c>
      <c r="H52" s="217" t="str">
        <f>IFERROR(VLOOKUP($H$46,Sheet4!$A$4:$S$65,8,FALSE),"")</f>
        <v/>
      </c>
      <c r="I52" s="218">
        <f>IFERROR(VLOOKUP($H$46,Sheet4!$A$4:$S$65,9,FALSE),"")</f>
        <v>0</v>
      </c>
      <c r="J52" s="4" t="str">
        <f>IFERROR(VLOOKUP($H$46,Sheet4!$A$4:$S$65,10,FALSE),"")</f>
        <v/>
      </c>
      <c r="K52" s="217" t="str">
        <f>IFERROR(VLOOKUP($K$46,Sheet4!$A$4:$S$65,8,FALSE),"")</f>
        <v/>
      </c>
      <c r="L52" s="218">
        <f>IFERROR(VLOOKUP($K$46,Sheet4!$A$4:$S$65,9,FALSE),"")</f>
        <v>0</v>
      </c>
      <c r="M52" s="4" t="str">
        <f>IFERROR(VLOOKUP($K$46,Sheet4!$A$4:$S$65,10,FALSE),"")</f>
        <v/>
      </c>
      <c r="N52" s="217" t="str">
        <f>IFERROR(VLOOKUP($N$46,Sheet4!$A$4:$S$65,8,FALSE),"")</f>
        <v/>
      </c>
      <c r="O52" s="218">
        <f>IFERROR(VLOOKUP($N$46,Sheet4!$A$4:$S$65,9,FALSE),"")</f>
        <v>0</v>
      </c>
      <c r="P52" s="4" t="str">
        <f>IFERROR(VLOOKUP($N$46,Sheet4!$A$4:$S$65,10,FALSE),"")</f>
        <v/>
      </c>
      <c r="Q52" s="217" t="str">
        <f>IFERROR(VLOOKUP($Q$46,Sheet4!$A$4:$S$65,8,FALSE),"")</f>
        <v/>
      </c>
      <c r="R52" s="218">
        <f>IFERROR(VLOOKUP($Q$46,Sheet4!$A$4:$S$65,9,FALSE),"")</f>
        <v>0</v>
      </c>
      <c r="S52" s="4" t="str">
        <f>IFERROR(VLOOKUP($Q$46,Sheet4!$A$4:$S$65,10,FALSE),"")</f>
        <v/>
      </c>
      <c r="T52" s="217" t="str">
        <f>IFERROR(VLOOKUP($T$46,Sheet4!$A$4:$S$65,8,FALSE),"")</f>
        <v/>
      </c>
      <c r="U52" s="218">
        <f>IFERROR(VLOOKUP($T$46,Sheet4!$A$4:$S$65,9,FALSE),"")</f>
        <v>0</v>
      </c>
      <c r="V52" s="4" t="str">
        <f>IFERROR(VLOOKUP($T$46,Sheet4!$A$4:$S$65,10,FALSE),"")</f>
        <v/>
      </c>
    </row>
    <row r="53" spans="1:22" ht="15.95" customHeight="1" x14ac:dyDescent="0.25">
      <c r="A53" s="31" t="str">
        <f>IF(DevMode!B9="","Unused",DevMode!B9)</f>
        <v>Rover 2 (FC-371)</v>
      </c>
      <c r="B53" s="217" t="str">
        <f>IFERROR(VLOOKUP($B$46,Sheet4!$A$4:$S$65,11,FALSE),"")</f>
        <v/>
      </c>
      <c r="C53" s="218">
        <f>IFERROR(VLOOKUP($B$46,Sheet4!$A$4:$S$65,12,FALSE),"")</f>
        <v>0</v>
      </c>
      <c r="D53" s="4" t="str">
        <f>IFERROR(VLOOKUP($B$46,Sheet4!$A$4:$S$65,13,FALSE),"")</f>
        <v/>
      </c>
      <c r="E53" s="217" t="str">
        <f>IFERROR(VLOOKUP($E$46,Sheet4!$A$4:$S$65,11,FALSE),"")</f>
        <v/>
      </c>
      <c r="F53" s="218">
        <f>IFERROR(VLOOKUP($E$46,Sheet4!$A$4:$S$65,12,FALSE),"")</f>
        <v>0</v>
      </c>
      <c r="G53" s="4" t="str">
        <f>IFERROR(VLOOKUP($E$46,Sheet4!$A$4:$S$65,13,FALSE),"")</f>
        <v/>
      </c>
      <c r="H53" s="217" t="str">
        <f>IFERROR(VLOOKUP($H$46,Sheet4!$A$4:$S$65,11,FALSE),"")</f>
        <v/>
      </c>
      <c r="I53" s="218">
        <f>IFERROR(VLOOKUP($H$46,Sheet4!$A$4:$S$65,12,FALSE),"")</f>
        <v>0</v>
      </c>
      <c r="J53" s="4" t="str">
        <f>IFERROR(VLOOKUP($H$46,Sheet4!$A$4:$S$65,13,FALSE),"")</f>
        <v/>
      </c>
      <c r="K53" s="217" t="str">
        <f>IFERROR(VLOOKUP($K$46,Sheet4!$A$4:$S$65,11,FALSE),"")</f>
        <v/>
      </c>
      <c r="L53" s="218">
        <f>IFERROR(VLOOKUP($K$46,Sheet4!$A$4:$S$65,12,FALSE),"")</f>
        <v>0</v>
      </c>
      <c r="M53" s="4" t="str">
        <f>IFERROR(VLOOKUP($K$46,Sheet4!$A$4:$S$65,13,FALSE),"")</f>
        <v/>
      </c>
      <c r="N53" s="217" t="str">
        <f>IFERROR(VLOOKUP($N$46,Sheet4!$A$4:$S$65,11,FALSE),"")</f>
        <v/>
      </c>
      <c r="O53" s="218">
        <f>IFERROR(VLOOKUP($N$46,Sheet4!$A$4:$S$65,12,FALSE),"")</f>
        <v>0</v>
      </c>
      <c r="P53" s="4" t="str">
        <f>IFERROR(VLOOKUP($N$46,Sheet4!$A$4:$S$65,13,FALSE),"")</f>
        <v/>
      </c>
      <c r="Q53" s="217" t="str">
        <f>IFERROR(VLOOKUP($Q$46,Sheet4!$A$4:$S$65,11,FALSE),"")</f>
        <v/>
      </c>
      <c r="R53" s="218">
        <f>IFERROR(VLOOKUP($Q$46,Sheet4!$A$4:$S$65,12,FALSE),"")</f>
        <v>0</v>
      </c>
      <c r="S53" s="4" t="str">
        <f>IFERROR(VLOOKUP($Q$46,Sheet4!$A$4:$S$65,13,FALSE),"")</f>
        <v/>
      </c>
      <c r="T53" s="217" t="str">
        <f>IFERROR(VLOOKUP($T$46,Sheet4!$A$4:$S$65,11,FALSE),"")</f>
        <v/>
      </c>
      <c r="U53" s="218">
        <f>IFERROR(VLOOKUP($T$46,Sheet4!$A$4:$S$65,12,FALSE),"")</f>
        <v>0</v>
      </c>
      <c r="V53" s="4" t="str">
        <f>IFERROR(VLOOKUP($T$46,Sheet4!$A$4:$S$65,13,FALSE),"")</f>
        <v/>
      </c>
    </row>
    <row r="54" spans="1:22" ht="15.95" customHeight="1" x14ac:dyDescent="0.25">
      <c r="A54" s="31" t="str">
        <f>IF(DevMode!B10="","Unused",DevMode!B10)</f>
        <v>Rover 1 (FC-372)</v>
      </c>
      <c r="B54" s="217" t="str">
        <f>IFERROR(VLOOKUP($B$46,Sheet4!$A$4:$S$65,14,FALSE),"")</f>
        <v/>
      </c>
      <c r="C54" s="218">
        <f>IFERROR(VLOOKUP($B$46,Sheet4!$A$4:$S$65,15,FALSE),"")</f>
        <v>0</v>
      </c>
      <c r="D54" s="4" t="str">
        <f>IFERROR(VLOOKUP($B$46,Sheet4!$A$4:$S$65,16,FALSE),"")</f>
        <v/>
      </c>
      <c r="E54" s="217" t="str">
        <f>IFERROR(VLOOKUP($E$46,Sheet4!$A$4:$S$65,14,FALSE),"")</f>
        <v/>
      </c>
      <c r="F54" s="218">
        <f>IFERROR(VLOOKUP($E$46,Sheet4!$A$4:$S$65,15,FALSE),"")</f>
        <v>0</v>
      </c>
      <c r="G54" s="4" t="str">
        <f>IFERROR(VLOOKUP($E$46,Sheet4!$A$4:$S$65,16,FALSE),"")</f>
        <v/>
      </c>
      <c r="H54" s="217" t="str">
        <f>IFERROR(VLOOKUP($H$46,Sheet4!$A$4:$S$65,14,FALSE),"")</f>
        <v/>
      </c>
      <c r="I54" s="218">
        <f>IFERROR(VLOOKUP($H$46,Sheet4!$A$4:$S$65,15,FALSE),"")</f>
        <v>0</v>
      </c>
      <c r="J54" s="4" t="str">
        <f>IFERROR(VLOOKUP($H$46,Sheet4!$A$4:$S$65,16,FALSE),"")</f>
        <v/>
      </c>
      <c r="K54" s="217" t="str">
        <f>IFERROR(VLOOKUP($K$46,Sheet4!$A$4:$S$65,14,FALSE),"")</f>
        <v/>
      </c>
      <c r="L54" s="218">
        <f>IFERROR(VLOOKUP($K$46,Sheet4!$A$4:$S$65,15,FALSE),"")</f>
        <v>0</v>
      </c>
      <c r="M54" s="4" t="str">
        <f>IFERROR(VLOOKUP($K$46,Sheet4!$A$4:$S$65,16,FALSE),"")</f>
        <v/>
      </c>
      <c r="N54" s="217" t="str">
        <f>IFERROR(VLOOKUP($N$46,Sheet4!$A$4:$S$65,14,FALSE),"")</f>
        <v/>
      </c>
      <c r="O54" s="218">
        <f>IFERROR(VLOOKUP($N$46,Sheet4!$A$4:$S$65,15,FALSE),"")</f>
        <v>0</v>
      </c>
      <c r="P54" s="4" t="str">
        <f>IFERROR(VLOOKUP($N$46,Sheet4!$A$4:$S$65,16,FALSE),"")</f>
        <v/>
      </c>
      <c r="Q54" s="217" t="str">
        <f>IFERROR(VLOOKUP($Q$46,Sheet4!$A$4:$S$65,14,FALSE),"")</f>
        <v/>
      </c>
      <c r="R54" s="218">
        <f>IFERROR(VLOOKUP($Q$46,Sheet4!$A$4:$S$65,15,FALSE),"")</f>
        <v>0</v>
      </c>
      <c r="S54" s="4" t="str">
        <f>IFERROR(VLOOKUP($Q$46,Sheet4!$A$4:$S$65,16,FALSE),"")</f>
        <v/>
      </c>
      <c r="T54" s="217" t="str">
        <f>IFERROR(VLOOKUP($T$46,Sheet4!$A$4:$S$65,14,FALSE),"")</f>
        <v/>
      </c>
      <c r="U54" s="218">
        <f>IFERROR(VLOOKUP($T$46,Sheet4!$A$4:$S$65,15,FALSE),"")</f>
        <v>0</v>
      </c>
      <c r="V54" s="4" t="str">
        <f>IFERROR(VLOOKUP($T$46,Sheet4!$A$4:$S$65,16,FALSE),"")</f>
        <v/>
      </c>
    </row>
    <row r="55" spans="1:22" ht="15.95" customHeight="1" x14ac:dyDescent="0.25">
      <c r="A55" s="31" t="str">
        <f>IF(DevMode!B11="","Unused",DevMode!B11)</f>
        <v>Rover 2 (FC-372)</v>
      </c>
      <c r="B55" s="217" t="str">
        <f>IFERROR(VLOOKUP($B$46,Sheet4!$A$4:$S$65,17,FALSE),"")</f>
        <v/>
      </c>
      <c r="C55" s="218">
        <f>IFERROR(VLOOKUP($B$46,Sheet4!$A$4:$S$65,18,FALSE),"")</f>
        <v>0</v>
      </c>
      <c r="D55" s="4" t="str">
        <f>IFERROR(VLOOKUP($B$46,Sheet4!$A$4:$S$65,19,FALSE),"")</f>
        <v/>
      </c>
      <c r="E55" s="217" t="str">
        <f>IFERROR(VLOOKUP($E$46,Sheet4!$A$4:$S$65,17,FALSE),"")</f>
        <v/>
      </c>
      <c r="F55" s="218">
        <f>IFERROR(VLOOKUP($E$46,Sheet4!$A$4:$S$65,18,FALSE),"")</f>
        <v>0</v>
      </c>
      <c r="G55" s="4" t="str">
        <f>IFERROR(VLOOKUP($E$46,Sheet4!$A$4:$S$65,19,FALSE),"")</f>
        <v/>
      </c>
      <c r="H55" s="217" t="str">
        <f>IFERROR(VLOOKUP($H$46,Sheet4!$A$4:$S$65,17,FALSE),"")</f>
        <v/>
      </c>
      <c r="I55" s="218">
        <f>IFERROR(VLOOKUP($H$46,Sheet4!$A$4:$S$65,18,FALSE),"")</f>
        <v>0</v>
      </c>
      <c r="J55" s="4" t="str">
        <f>IFERROR(VLOOKUP($H$46,Sheet4!$A$4:$S$65,19,FALSE),"")</f>
        <v/>
      </c>
      <c r="K55" s="217" t="str">
        <f>IFERROR(VLOOKUP($K$46,Sheet4!$A$4:$S$65,17,FALSE),"")</f>
        <v/>
      </c>
      <c r="L55" s="218">
        <f>IFERROR(VLOOKUP($K$46,Sheet4!$A$4:$S$65,18,FALSE),"")</f>
        <v>0</v>
      </c>
      <c r="M55" s="4" t="str">
        <f>IFERROR(VLOOKUP($K$46,Sheet4!$A$4:$S$65,19,FALSE),"")</f>
        <v/>
      </c>
      <c r="N55" s="217" t="str">
        <f>IFERROR(VLOOKUP($N$46,Sheet4!$A$4:$S$65,17,FALSE),"")</f>
        <v/>
      </c>
      <c r="O55" s="218">
        <f>IFERROR(VLOOKUP($N$46,Sheet4!$A$4:$S$65,18,FALSE),"")</f>
        <v>0</v>
      </c>
      <c r="P55" s="4" t="str">
        <f>IFERROR(VLOOKUP($N$46,Sheet4!$A$4:$S$65,19,FALSE),"")</f>
        <v/>
      </c>
      <c r="Q55" s="217" t="str">
        <f>IFERROR(VLOOKUP($Q$46,Sheet4!$A$4:$S$65,17,FALSE),"")</f>
        <v/>
      </c>
      <c r="R55" s="218">
        <f>IFERROR(VLOOKUP($Q$46,Sheet4!$A$4:$S$65,18,FALSE),"")</f>
        <v>0</v>
      </c>
      <c r="S55" s="4" t="str">
        <f>IFERROR(VLOOKUP($Q$46,Sheet4!$A$4:$S$65,19,FALSE),"")</f>
        <v/>
      </c>
      <c r="T55" s="217" t="str">
        <f>IFERROR(VLOOKUP($T$46,Sheet4!$A$4:$S$65,17,FALSE),"")</f>
        <v/>
      </c>
      <c r="U55" s="218">
        <f>IFERROR(VLOOKUP($T$46,Sheet4!$A$4:$S$65,18,FALSE),"")</f>
        <v>0</v>
      </c>
      <c r="V55" s="4" t="str">
        <f>IFERROR(VLOOKUP($T$46,Sheet4!$A$4:$S$65,19,FALSE),"")</f>
        <v/>
      </c>
    </row>
    <row r="56" spans="1:22" ht="15.95" customHeight="1" x14ac:dyDescent="0.25">
      <c r="A56" s="31" t="str">
        <f>IF(DevMode!B12="","Unused",DevMode!B12)</f>
        <v>DNCO (FC-481)</v>
      </c>
      <c r="B56" s="217" t="str">
        <f>IFERROR(VLOOKUP($B$46,Sheet5!$A$4:$M$63,2,FALSE),"")</f>
        <v/>
      </c>
      <c r="C56" s="218">
        <f>IFERROR(VLOOKUP($B$46,Sheet5!$A$4:$M$63,3,FALSE),"")</f>
        <v>0</v>
      </c>
      <c r="D56" s="4" t="str">
        <f>IFERROR(VLOOKUP($B$46,Sheet5!$A$4:$M$63,4,FALSE),"")</f>
        <v/>
      </c>
      <c r="E56" s="217" t="str">
        <f>IFERROR(VLOOKUP($E$46,Sheet5!$A$4:$M$63,2,FALSE),"")</f>
        <v/>
      </c>
      <c r="F56" s="218">
        <f>IFERROR(VLOOKUP($E$46,Sheet5!$A$4:$M$63,3,FALSE),"")</f>
        <v>0</v>
      </c>
      <c r="G56" s="4" t="str">
        <f>IFERROR(VLOOKUP($E$46,Sheet5!$A$4:$M$63,4,FALSE),"")</f>
        <v/>
      </c>
      <c r="H56" s="217" t="str">
        <f>IFERROR(VLOOKUP($H$46,Sheet5!$A$4:$M$63,2,FALSE),"")</f>
        <v/>
      </c>
      <c r="I56" s="218">
        <f>IFERROR(VLOOKUP($H$46,Sheet5!$A$4:$M$63,3,FALSE),"")</f>
        <v>0</v>
      </c>
      <c r="J56" s="4" t="str">
        <f>IFERROR(VLOOKUP($H$46,Sheet5!$A$4:$M$63,4,FALSE),"")</f>
        <v/>
      </c>
      <c r="K56" s="217" t="str">
        <f>IFERROR(VLOOKUP($K$46,Sheet5!$A$4:$M$63,2,FALSE),"")</f>
        <v/>
      </c>
      <c r="L56" s="218">
        <f>IFERROR(VLOOKUP($K$46,Sheet5!$A$4:$M$63,3,FALSE),"")</f>
        <v>0</v>
      </c>
      <c r="M56" s="4" t="str">
        <f>IFERROR(VLOOKUP($K$46,Sheet5!$A$4:$M$63,4,FALSE),"")</f>
        <v/>
      </c>
      <c r="N56" s="217" t="str">
        <f>IFERROR(VLOOKUP($N$46,Sheet5!$A$4:$M$63,2,FALSE),"")</f>
        <v/>
      </c>
      <c r="O56" s="218">
        <f>IFERROR(VLOOKUP($N$46,Sheet5!$A$4:$M$63,3,FALSE),"")</f>
        <v>0</v>
      </c>
      <c r="P56" s="4" t="str">
        <f>IFERROR(VLOOKUP($N$46,Sheet5!$A$4:$M$63,4,FALSE),"")</f>
        <v/>
      </c>
      <c r="Q56" s="217" t="str">
        <f>IFERROR(VLOOKUP($Q$46,Sheet5!$A$4:$M$63,2,FALSE),"")</f>
        <v/>
      </c>
      <c r="R56" s="218">
        <f>IFERROR(VLOOKUP($Q$46,Sheet5!$A$4:$M$63,3,FALSE),"")</f>
        <v>0</v>
      </c>
      <c r="S56" s="4" t="str">
        <f>IFERROR(VLOOKUP($Q$46,Sheet5!$A$4:$M$63,4,FALSE),"")</f>
        <v/>
      </c>
      <c r="T56" s="217" t="str">
        <f>IFERROR(VLOOKUP($T$46,Sheet5!$A$4:$M$63,2,FALSE),"")</f>
        <v/>
      </c>
      <c r="U56" s="218">
        <f>IFERROR(VLOOKUP($T$46,Sheet5!$A$4:$M$63,3,FALSE),"")</f>
        <v>0</v>
      </c>
      <c r="V56" s="4" t="str">
        <f>IFERROR(VLOOKUP($T$46,Sheet5!$A$4:$M$63,4,FALSE),"")</f>
        <v/>
      </c>
    </row>
    <row r="57" spans="1:22" ht="15.95" customHeight="1" x14ac:dyDescent="0.25">
      <c r="A57" s="31" t="str">
        <f>IF(DevMode!B13="","Unused",DevMode!B13)</f>
        <v>ADNCO (FC-481)</v>
      </c>
      <c r="B57" s="217" t="str">
        <f>IFERROR(VLOOKUP($B$46,Sheet5!$A$4:$M$63,5,FALSE),"")</f>
        <v/>
      </c>
      <c r="C57" s="218">
        <f>IFERROR(VLOOKUP($B$46,Sheet5!$A$4:$M$63,6,FALSE),"")</f>
        <v>0</v>
      </c>
      <c r="D57" s="4" t="str">
        <f>IFERROR(VLOOKUP($B$46,Sheet5!$A$4:$M$63,7,FALSE),"")</f>
        <v/>
      </c>
      <c r="E57" s="217" t="str">
        <f>IFERROR(VLOOKUP($E$46,Sheet5!$A$4:$M$63,5,FALSE),"")</f>
        <v/>
      </c>
      <c r="F57" s="218">
        <f>IFERROR(VLOOKUP($E$46,Sheet5!$A$4:$M$63,6,FALSE),"")</f>
        <v>0</v>
      </c>
      <c r="G57" s="4" t="str">
        <f>IFERROR(VLOOKUP($E$46,Sheet5!$A$4:$M$63,7,FALSE),"")</f>
        <v/>
      </c>
      <c r="H57" s="217" t="str">
        <f>IFERROR(VLOOKUP($H$46,Sheet5!$A$4:$M$63,5,FALSE),"")</f>
        <v/>
      </c>
      <c r="I57" s="218">
        <f>IFERROR(VLOOKUP($H$46,Sheet5!$A$4:$M$63,6,FALSE),"")</f>
        <v>0</v>
      </c>
      <c r="J57" s="4" t="str">
        <f>IFERROR(VLOOKUP($H$46,Sheet5!$A$4:$M$63,7,FALSE),"")</f>
        <v/>
      </c>
      <c r="K57" s="217" t="str">
        <f>IFERROR(VLOOKUP($K$46,Sheet5!$A$4:$M$63,5,FALSE),"")</f>
        <v/>
      </c>
      <c r="L57" s="218">
        <f>IFERROR(VLOOKUP($K$46,Sheet5!$A$4:$M$63,6,FALSE),"")</f>
        <v>0</v>
      </c>
      <c r="M57" s="4" t="str">
        <f>IFERROR(VLOOKUP($K$46,Sheet5!$A$4:$M$63,7,FALSE),"")</f>
        <v/>
      </c>
      <c r="N57" s="217" t="str">
        <f>IFERROR(VLOOKUP($N$46,Sheet5!$A$4:$M$63,5,FALSE),"")</f>
        <v/>
      </c>
      <c r="O57" s="218">
        <f>IFERROR(VLOOKUP($N$46,Sheet5!$A$4:$M$63,6,FALSE),"")</f>
        <v>0</v>
      </c>
      <c r="P57" s="4" t="str">
        <f>IFERROR(VLOOKUP($N$46,Sheet5!$A$4:$M$63,7,FALSE),"")</f>
        <v/>
      </c>
      <c r="Q57" s="217" t="str">
        <f>IFERROR(VLOOKUP($Q$46,Sheet5!$A$4:$M$63,5,FALSE),"")</f>
        <v/>
      </c>
      <c r="R57" s="218">
        <f>IFERROR(VLOOKUP($Q$46,Sheet5!$A$4:$M$63,6,FALSE),"")</f>
        <v>0</v>
      </c>
      <c r="S57" s="4" t="str">
        <f>IFERROR(VLOOKUP($Q$46,Sheet5!$A$4:$M$63,7,FALSE),"")</f>
        <v/>
      </c>
      <c r="T57" s="217" t="str">
        <f>IFERROR(VLOOKUP($T$46,Sheet5!$A$4:$M$63,5,FALSE),"")</f>
        <v/>
      </c>
      <c r="U57" s="218">
        <f>IFERROR(VLOOKUP($T$46,Sheet5!$A$4:$M$63,6,FALSE),"")</f>
        <v>0</v>
      </c>
      <c r="V57" s="4" t="str">
        <f>IFERROR(VLOOKUP($T$46,Sheet5!$A$4:$M$63,7,FALSE),"")</f>
        <v/>
      </c>
    </row>
    <row r="58" spans="1:22" ht="15.95" customHeight="1" x14ac:dyDescent="0.25">
      <c r="A58" s="31" t="str">
        <f>IF(DevMode!B14="","Unused",DevMode!B14)</f>
        <v>Rover 1 (FC-481)</v>
      </c>
      <c r="B58" s="217" t="str">
        <f>IFERROR(VLOOKUP($B$46,Sheet5!$A$4:$M$63,8,FALSE),"")</f>
        <v/>
      </c>
      <c r="C58" s="218">
        <f>IFERROR(VLOOKUP($B$46,Sheet5!$A$4:$M$63,9,FALSE),"")</f>
        <v>0</v>
      </c>
      <c r="D58" s="4" t="str">
        <f>IFERROR(VLOOKUP($B$46,Sheet5!$A$4:$M$63,10,FALSE),"")</f>
        <v/>
      </c>
      <c r="E58" s="217" t="str">
        <f>IFERROR(VLOOKUP($E$46,Sheet5!$A$4:$M$63,8,FALSE),"")</f>
        <v/>
      </c>
      <c r="F58" s="218">
        <f>IFERROR(VLOOKUP($E$46,Sheet5!$A$4:$M$63,9,FALSE),"")</f>
        <v>0</v>
      </c>
      <c r="G58" s="4" t="str">
        <f>IFERROR(VLOOKUP($E$46,Sheet5!$A$4:$M$63,10,FALSE),"")</f>
        <v/>
      </c>
      <c r="H58" s="217" t="str">
        <f>IFERROR(VLOOKUP($H$46,Sheet5!$A$4:$M$63,8,FALSE),"")</f>
        <v/>
      </c>
      <c r="I58" s="218">
        <f>IFERROR(VLOOKUP($H$46,Sheet5!$A$4:$M$63,9,FALSE),"")</f>
        <v>0</v>
      </c>
      <c r="J58" s="4" t="str">
        <f>IFERROR(VLOOKUP($H$46,Sheet5!$A$4:$M$63,10,FALSE),"")</f>
        <v/>
      </c>
      <c r="K58" s="217" t="str">
        <f>IFERROR(VLOOKUP($K$46,Sheet5!$A$4:$M$63,8,FALSE),"")</f>
        <v/>
      </c>
      <c r="L58" s="218">
        <f>IFERROR(VLOOKUP($K$46,Sheet5!$A$4:$M$63,9,FALSE),"")</f>
        <v>0</v>
      </c>
      <c r="M58" s="4" t="str">
        <f>IFERROR(VLOOKUP($K$46,Sheet5!$A$4:$M$63,10,FALSE),"")</f>
        <v/>
      </c>
      <c r="N58" s="217" t="str">
        <f>IFERROR(VLOOKUP($N$46,Sheet5!$A$4:$M$63,8,FALSE),"")</f>
        <v/>
      </c>
      <c r="O58" s="218">
        <f>IFERROR(VLOOKUP($N$46,Sheet5!$A$4:$M$63,9,FALSE),"")</f>
        <v>0</v>
      </c>
      <c r="P58" s="4" t="str">
        <f>IFERROR(VLOOKUP($N$46,Sheet5!$A$4:$M$63,10,FALSE),"")</f>
        <v/>
      </c>
      <c r="Q58" s="217" t="str">
        <f>IFERROR(VLOOKUP($Q$46,Sheet5!$A$4:$M$63,8,FALSE),"")</f>
        <v/>
      </c>
      <c r="R58" s="218">
        <f>IFERROR(VLOOKUP($Q$46,Sheet5!$A$4:$M$63,9,FALSE),"")</f>
        <v>0</v>
      </c>
      <c r="S58" s="4" t="str">
        <f>IFERROR(VLOOKUP($Q$46,Sheet5!$A$4:$M$63,10,FALSE),"")</f>
        <v/>
      </c>
      <c r="T58" s="217" t="str">
        <f>IFERROR(VLOOKUP($T$46,Sheet5!$A$4:$M$63,8,FALSE),"")</f>
        <v/>
      </c>
      <c r="U58" s="218">
        <f>IFERROR(VLOOKUP($T$46,Sheet5!$A$4:$M$63,9,FALSE),"")</f>
        <v>0</v>
      </c>
      <c r="V58" s="4" t="str">
        <f>IFERROR(VLOOKUP($T$46,Sheet5!$A$4:$M$63,10,FALSE),"")</f>
        <v/>
      </c>
    </row>
    <row r="59" spans="1:22" ht="15.95" customHeight="1" thickBot="1" x14ac:dyDescent="0.3">
      <c r="A59" s="31" t="str">
        <f>IF(DevMode!B15="","Unused",DevMode!B15)</f>
        <v>Rover 2 (FC-481)</v>
      </c>
      <c r="B59" s="219" t="str">
        <f>IFERROR(VLOOKUP($B$46,Sheet5!$A$4:$M$63,11,FALSE),"")</f>
        <v/>
      </c>
      <c r="C59" s="220">
        <f>IFERROR(VLOOKUP($B$46,Sheet5!$A$4:$M$63,12,FALSE),"")</f>
        <v>0</v>
      </c>
      <c r="D59" s="5" t="str">
        <f>IFERROR(VLOOKUP($B$46,Sheet5!$A$4:$M$63,13,FALSE),"")</f>
        <v/>
      </c>
      <c r="E59" s="219" t="str">
        <f>IFERROR(VLOOKUP($E$46,Sheet5!$A$4:$M$63,11,FALSE),"")</f>
        <v/>
      </c>
      <c r="F59" s="220">
        <f>IFERROR(VLOOKUP($E$46,Sheet5!$A$4:$M$63,12,FALSE),"")</f>
        <v>0</v>
      </c>
      <c r="G59" s="5" t="str">
        <f>IFERROR(VLOOKUP($E$46,Sheet5!$A$4:$M$63,13,FALSE),"")</f>
        <v/>
      </c>
      <c r="H59" s="219" t="str">
        <f>IFERROR(VLOOKUP($H$46,Sheet5!$A$4:$M$63,11,FALSE),"")</f>
        <v/>
      </c>
      <c r="I59" s="220">
        <f>IFERROR(VLOOKUP($H$46,Sheet5!$A$4:$M$63,12,FALSE),"")</f>
        <v>0</v>
      </c>
      <c r="J59" s="5" t="str">
        <f>IFERROR(VLOOKUP($H$46,Sheet5!$A$4:$M$63,13,FALSE),"")</f>
        <v/>
      </c>
      <c r="K59" s="219" t="str">
        <f>IFERROR(VLOOKUP($K$46,Sheet5!$A$4:$M$63,11,FALSE),"")</f>
        <v/>
      </c>
      <c r="L59" s="220">
        <f>IFERROR(VLOOKUP($K$46,Sheet5!$A$4:$M$63,12,FALSE),"")</f>
        <v>0</v>
      </c>
      <c r="M59" s="5" t="str">
        <f>IFERROR(VLOOKUP($K$46,Sheet5!$A$4:$M$63,13,FALSE),"")</f>
        <v/>
      </c>
      <c r="N59" s="219" t="str">
        <f>IFERROR(VLOOKUP($N$46,Sheet5!$A$4:$M$63,11,FALSE),"")</f>
        <v/>
      </c>
      <c r="O59" s="220">
        <f>IFERROR(VLOOKUP($N$46,Sheet5!$A$4:$M$63,12,FALSE),"")</f>
        <v>0</v>
      </c>
      <c r="P59" s="5" t="str">
        <f>IFERROR(VLOOKUP($N$46,Sheet5!$A$4:$M$63,13,FALSE),"")</f>
        <v/>
      </c>
      <c r="Q59" s="219" t="str">
        <f>IFERROR(VLOOKUP($Q$46,Sheet5!$A$4:$M$63,11,FALSE),"")</f>
        <v/>
      </c>
      <c r="R59" s="220">
        <f>IFERROR(VLOOKUP($Q$46,Sheet5!$A$4:$M$63,12,FALSE),"")</f>
        <v>0</v>
      </c>
      <c r="S59" s="5" t="str">
        <f>IFERROR(VLOOKUP($Q$46,Sheet5!$A$4:$M$63,13,FALSE),"")</f>
        <v/>
      </c>
      <c r="T59" s="219" t="str">
        <f>IFERROR(VLOOKUP($T$46,Sheet5!$A$4:$M$63,11,FALSE),"")</f>
        <v/>
      </c>
      <c r="U59" s="220">
        <f>IFERROR(VLOOKUP($T$46,Sheet5!$A$4:$M$63,12,FALSE),"")</f>
        <v>0</v>
      </c>
      <c r="V59" s="5" t="str">
        <f>IFERROR(VLOOKUP($T$46,Sheet5!$A$4:$M$63,13,FALSE),"")</f>
        <v/>
      </c>
    </row>
    <row r="60" spans="1:22" ht="15.95" customHeight="1" thickBot="1" x14ac:dyDescent="0.3">
      <c r="A60" s="1"/>
      <c r="B60" s="2" t="str">
        <f>IFERROR(T46+1,"")</f>
        <v/>
      </c>
      <c r="C60" s="351"/>
      <c r="D60" s="352"/>
      <c r="E60" s="2" t="str">
        <f>IFERROR(B60+1,"")</f>
        <v/>
      </c>
      <c r="F60" s="351"/>
      <c r="G60" s="352"/>
      <c r="H60" s="2" t="str">
        <f>IFERROR(E60+1,"")</f>
        <v/>
      </c>
      <c r="I60" s="351"/>
      <c r="J60" s="352"/>
      <c r="K60" s="2" t="str">
        <f>IFERROR(H60+1,"")</f>
        <v/>
      </c>
      <c r="L60" s="351"/>
      <c r="M60" s="352"/>
      <c r="N60" s="2" t="str">
        <f>IFERROR(K60+1,"")</f>
        <v/>
      </c>
      <c r="O60" s="351"/>
      <c r="P60" s="352"/>
      <c r="Q60" s="2" t="str">
        <f>IFERROR(N60+1,"")</f>
        <v/>
      </c>
      <c r="R60" s="351"/>
      <c r="S60" s="352"/>
      <c r="T60" s="2" t="str">
        <f>IFERROR(Q60+1,"")</f>
        <v/>
      </c>
      <c r="U60" s="351"/>
      <c r="V60" s="352"/>
    </row>
    <row r="61" spans="1:22" ht="15.95" customHeight="1" x14ac:dyDescent="0.25">
      <c r="A61" s="31" t="str">
        <f>IF(DevMode!B3="","Unused",DevMode!B3)</f>
        <v>OOD (FC-300)</v>
      </c>
      <c r="B61" s="215" t="str">
        <f>IFERROR(VLOOKUP($B$60,Sheet2!$A$4:$J$63,2,FALSE),"")</f>
        <v/>
      </c>
      <c r="C61" s="216">
        <f>IFERROR(VLOOKUP($B$60,Sheet2!$A$4:$J$63,3,FALSE),"")</f>
        <v>0</v>
      </c>
      <c r="D61" s="3">
        <f>IFERROR(VLOOKUP($B$60,Sheet2!$A$4:$J$63,4,FALSE),"")</f>
        <v>0</v>
      </c>
      <c r="E61" s="215" t="str">
        <f>IFERROR(VLOOKUP($E$60,Sheet2!$A$4:$J$63,2,FALSE),"")</f>
        <v/>
      </c>
      <c r="F61" s="216">
        <f>IFERROR(VLOOKUP($E$60,Sheet2!$A$4:$J$63,3,FALSE),"")</f>
        <v>0</v>
      </c>
      <c r="G61" s="3">
        <f>IFERROR(VLOOKUP($E$60,Sheet2!$A$4:$J$63,4,FALSE),"")</f>
        <v>0</v>
      </c>
      <c r="H61" s="215" t="str">
        <f>IFERROR(VLOOKUP($H$60,Sheet2!$A$4:$J$63,2,FALSE),"")</f>
        <v/>
      </c>
      <c r="I61" s="216">
        <f>IFERROR(VLOOKUP($H$60,Sheet2!$A$4:$J$63,3,FALSE),"")</f>
        <v>0</v>
      </c>
      <c r="J61" s="3">
        <f>IFERROR(VLOOKUP($H$60,Sheet2!$A$4:$J$63,4,FALSE),"")</f>
        <v>0</v>
      </c>
      <c r="K61" s="215" t="str">
        <f>IFERROR(VLOOKUP($K$60,Sheet2!$A$4:$J$63,2,FALSE),"")</f>
        <v/>
      </c>
      <c r="L61" s="216">
        <f>IFERROR(VLOOKUP($K$60,Sheet2!$A$4:$J$63,3,FALSE),"")</f>
        <v>0</v>
      </c>
      <c r="M61" s="3">
        <f>IFERROR(VLOOKUP($K$60,Sheet2!$A$4:$J$63,4,FALSE),"")</f>
        <v>0</v>
      </c>
      <c r="N61" s="215" t="str">
        <f>IFERROR(VLOOKUP($N$60,Sheet2!$A$4:$J$63,2,FALSE),"")</f>
        <v/>
      </c>
      <c r="O61" s="216">
        <f>IFERROR(VLOOKUP($N$60,Sheet2!$A$4:$J$63,3,FALSE),"")</f>
        <v>0</v>
      </c>
      <c r="P61" s="3">
        <f>IFERROR(VLOOKUP($N$60,Sheet2!$A$4:$J$63,4,FALSE),"")</f>
        <v>0</v>
      </c>
      <c r="Q61" s="215" t="str">
        <f>IFERROR(VLOOKUP($Q$60,Sheet2!$A$4:$J$63,2,FALSE),"")</f>
        <v/>
      </c>
      <c r="R61" s="216">
        <f>IFERROR(VLOOKUP($Q$60,Sheet2!$A$4:$J$63,3,FALSE),"")</f>
        <v>0</v>
      </c>
      <c r="S61" s="3">
        <f>IFERROR(VLOOKUP($Q$60,Sheet2!$A$4:$J$63,4,FALSE),"")</f>
        <v>0</v>
      </c>
      <c r="T61" s="215" t="str">
        <f>IFERROR(VLOOKUP($T$60,Sheet2!$A$4:$J$63,2,FALSE),"")</f>
        <v/>
      </c>
      <c r="U61" s="216">
        <f>IFERROR(VLOOKUP($T$60,Sheet2!$A$4:$J$63,3,FALSE),"")</f>
        <v>0</v>
      </c>
      <c r="V61" s="3">
        <f>IFERROR(VLOOKUP($T$60,Sheet2!$A$4:$J$63,4,FALSE),"")</f>
        <v>0</v>
      </c>
    </row>
    <row r="62" spans="1:22" ht="15.95" customHeight="1" x14ac:dyDescent="0.25">
      <c r="A62" s="31" t="str">
        <f>IF(DevMode!B4="","Unused",DevMode!B4)</f>
        <v>AOOD (FC-300)</v>
      </c>
      <c r="B62" s="217" t="str">
        <f>IFERROR(VLOOKUP($B$60,Sheet2!$A$4:$J$63,5,FALSE),"")</f>
        <v/>
      </c>
      <c r="C62" s="218">
        <f>IFERROR(VLOOKUP($B$60,Sheet2!$A$4:$J$63,6,FALSE),"")</f>
        <v>0</v>
      </c>
      <c r="D62" s="4" t="str">
        <f>IFERROR(VLOOKUP($B$60,Sheet2!$A$4:$J$63,7,FALSE),"")</f>
        <v/>
      </c>
      <c r="E62" s="217" t="str">
        <f>IFERROR(VLOOKUP($E$60,Sheet2!$A$4:$J$63,5,FALSE),"")</f>
        <v/>
      </c>
      <c r="F62" s="218">
        <f>IFERROR(VLOOKUP($E$60,Sheet2!$A$4:$J$63,6,FALSE),"")</f>
        <v>0</v>
      </c>
      <c r="G62" s="4" t="str">
        <f>IFERROR(VLOOKUP($E$60,Sheet2!$A$4:$J$63,7,FALSE),"")</f>
        <v/>
      </c>
      <c r="H62" s="217" t="str">
        <f>IFERROR(VLOOKUP($H$60,Sheet2!$A$4:$J$63,5,FALSE),"")</f>
        <v/>
      </c>
      <c r="I62" s="218">
        <f>IFERROR(VLOOKUP($H$60,Sheet2!$A$4:$J$63,6,FALSE),"")</f>
        <v>0</v>
      </c>
      <c r="J62" s="4" t="str">
        <f>IFERROR(VLOOKUP($H$60,Sheet2!$A$4:$J$63,7,FALSE),"")</f>
        <v/>
      </c>
      <c r="K62" s="217" t="str">
        <f>IFERROR(VLOOKUP($K$60,Sheet2!$A$4:$J$63,5,FALSE),"")</f>
        <v/>
      </c>
      <c r="L62" s="218">
        <f>IFERROR(VLOOKUP($K$60,Sheet2!$A$4:$J$63,6,FALSE),"")</f>
        <v>0</v>
      </c>
      <c r="M62" s="4" t="str">
        <f>IFERROR(VLOOKUP($K$60,Sheet2!$A$4:$J$63,7,FALSE),"")</f>
        <v/>
      </c>
      <c r="N62" s="217" t="str">
        <f>IFERROR(VLOOKUP($N$60,Sheet2!$A$4:$J$63,5,FALSE),"")</f>
        <v/>
      </c>
      <c r="O62" s="218">
        <f>IFERROR(VLOOKUP($N$60,Sheet2!$A$4:$J$63,6,FALSE),"")</f>
        <v>0</v>
      </c>
      <c r="P62" s="4" t="str">
        <f>IFERROR(VLOOKUP($N$60,Sheet2!$A$4:$J$63,7,FALSE),"")</f>
        <v/>
      </c>
      <c r="Q62" s="217" t="str">
        <f>IFERROR(VLOOKUP($Q$60,Sheet2!$A$4:$J$63,5,FALSE),"")</f>
        <v/>
      </c>
      <c r="R62" s="218">
        <f>IFERROR(VLOOKUP($Q$60,Sheet2!$A$4:$J$63,6,FALSE),"")</f>
        <v>0</v>
      </c>
      <c r="S62" s="4" t="str">
        <f>IFERROR(VLOOKUP($Q$60,Sheet2!$A$4:$J$63,7,FALSE),"")</f>
        <v/>
      </c>
      <c r="T62" s="217" t="str">
        <f>IFERROR(VLOOKUP($T$60,Sheet2!$A$4:$J$63,5,FALSE),"")</f>
        <v/>
      </c>
      <c r="U62" s="218">
        <f>IFERROR(VLOOKUP($T$60,Sheet2!$A$4:$J$63,6,FALSE),"")</f>
        <v>0</v>
      </c>
      <c r="V62" s="4" t="str">
        <f>IFERROR(VLOOKUP($T$60,Sheet2!$A$4:$J$63,7,FALSE),"")</f>
        <v/>
      </c>
    </row>
    <row r="63" spans="1:22" ht="15.95" customHeight="1" x14ac:dyDescent="0.25">
      <c r="A63" s="31" t="str">
        <f>IF(DevMode!B5="","Unused",DevMode!B5)</f>
        <v>Duty Driver (FC-300)</v>
      </c>
      <c r="B63" s="217" t="str">
        <f>IFERROR(VLOOKUP($B$60,Sheet2!$A$4:$J$63,8,FALSE),"")</f>
        <v/>
      </c>
      <c r="C63" s="218">
        <f>IFERROR(VLOOKUP($B$60,Sheet2!$A$4:$J$63,9,FALSE),"")</f>
        <v>0</v>
      </c>
      <c r="D63" s="4" t="str">
        <f>IFERROR(VLOOKUP($B$60,Sheet2!$A$4:$J$63,10,FALSE),"")</f>
        <v/>
      </c>
      <c r="E63" s="217" t="str">
        <f>IFERROR(VLOOKUP($E$60,Sheet2!$A$4:$J$63,8,FALSE),"")</f>
        <v/>
      </c>
      <c r="F63" s="218">
        <f>IFERROR(VLOOKUP($E$60,Sheet2!$A$4:$J$63,9,FALSE),"")</f>
        <v>0</v>
      </c>
      <c r="G63" s="4" t="str">
        <f>IFERROR(VLOOKUP($E$60,Sheet2!$A$4:$J$63,10,FALSE),"")</f>
        <v/>
      </c>
      <c r="H63" s="217" t="str">
        <f>IFERROR(VLOOKUP($H$60,Sheet2!$A$4:$J$63,8,FALSE),"")</f>
        <v/>
      </c>
      <c r="I63" s="218">
        <f>IFERROR(VLOOKUP($H$60,Sheet2!$A$4:$J$63,9,FALSE),"")</f>
        <v>0</v>
      </c>
      <c r="J63" s="4" t="str">
        <f>IFERROR(VLOOKUP($H$60,Sheet2!$A$4:$J$63,10,FALSE),"")</f>
        <v/>
      </c>
      <c r="K63" s="217" t="str">
        <f>IFERROR(VLOOKUP($K$60,Sheet2!$A$4:$J$63,8,FALSE),"")</f>
        <v/>
      </c>
      <c r="L63" s="218">
        <f>IFERROR(VLOOKUP($K$60,Sheet2!$A$4:$J$63,9,FALSE),"")</f>
        <v>0</v>
      </c>
      <c r="M63" s="4" t="str">
        <f>IFERROR(VLOOKUP($K$60,Sheet2!$A$4:$J$63,10,FALSE),"")</f>
        <v/>
      </c>
      <c r="N63" s="217" t="str">
        <f>IFERROR(VLOOKUP($N$60,Sheet2!$A$4:$J$63,8,FALSE),"")</f>
        <v/>
      </c>
      <c r="O63" s="218">
        <f>IFERROR(VLOOKUP($N$60,Sheet2!$A$4:$J$63,9,FALSE),"")</f>
        <v>0</v>
      </c>
      <c r="P63" s="4" t="str">
        <f>IFERROR(VLOOKUP($N$60,Sheet2!$A$4:$J$63,10,FALSE),"")</f>
        <v/>
      </c>
      <c r="Q63" s="217" t="str">
        <f>IFERROR(VLOOKUP($Q$60,Sheet2!$A$4:$J$63,8,FALSE),"")</f>
        <v/>
      </c>
      <c r="R63" s="218">
        <f>IFERROR(VLOOKUP($Q$60,Sheet2!$A$4:$J$63,9,FALSE),"")</f>
        <v>0</v>
      </c>
      <c r="S63" s="4" t="str">
        <f>IFERROR(VLOOKUP($Q$60,Sheet2!$A$4:$J$63,10,FALSE),"")</f>
        <v/>
      </c>
      <c r="T63" s="217" t="str">
        <f>IFERROR(VLOOKUP($T$60,Sheet2!$A$4:$J$63,8,FALSE),"")</f>
        <v/>
      </c>
      <c r="U63" s="218">
        <f>IFERROR(VLOOKUP($T$60,Sheet2!$A$4:$J$63,9,FALSE),"")</f>
        <v>0</v>
      </c>
      <c r="V63" s="4" t="str">
        <f>IFERROR(VLOOKUP($T$60,Sheet2!$A$4:$J$63,10,FALSE),"")</f>
        <v/>
      </c>
    </row>
    <row r="64" spans="1:22" ht="15.95" customHeight="1" x14ac:dyDescent="0.25">
      <c r="A64" s="31" t="str">
        <f>IF(DevMode!B6="","Unused",DevMode!B6)</f>
        <v>DNCO (FC-370)</v>
      </c>
      <c r="B64" s="217" t="str">
        <f>IFERROR(VLOOKUP($B$60,Sheet4!$A$4:$S$65,2,FALSE),"")</f>
        <v/>
      </c>
      <c r="C64" s="218">
        <f>IFERROR(VLOOKUP($B$60,Sheet4!$A$4:$S$65,3,FALSE),"")</f>
        <v>0</v>
      </c>
      <c r="D64" s="4" t="str">
        <f>IFERROR(VLOOKUP($B$60,Sheet4!$A$4:$S$65,4,FALSE),"")</f>
        <v/>
      </c>
      <c r="E64" s="217" t="str">
        <f>IFERROR(VLOOKUP($E$60,Sheet4!$A$4:$S$65,2,FALSE),"")</f>
        <v/>
      </c>
      <c r="F64" s="218">
        <f>IFERROR(VLOOKUP($E$60,Sheet4!$A$4:$S$65,3,FALSE),"")</f>
        <v>0</v>
      </c>
      <c r="G64" s="4" t="str">
        <f>IFERROR(VLOOKUP($E$60,Sheet4!$A$4:$S$65,4,FALSE),"")</f>
        <v/>
      </c>
      <c r="H64" s="217" t="str">
        <f>IFERROR(VLOOKUP($H$60,Sheet4!$A$4:$S$65,2,FALSE),"")</f>
        <v/>
      </c>
      <c r="I64" s="218">
        <f>IFERROR(VLOOKUP($H$60,Sheet4!$A$4:$S$65,3,FALSE),"")</f>
        <v>0</v>
      </c>
      <c r="J64" s="4" t="str">
        <f>IFERROR(VLOOKUP($H$60,Sheet4!$A$4:$S$65,4,FALSE),"")</f>
        <v/>
      </c>
      <c r="K64" s="217" t="str">
        <f>IFERROR(VLOOKUP($K$60,Sheet4!$A$4:$S$65,2,FALSE),"")</f>
        <v/>
      </c>
      <c r="L64" s="218">
        <f>IFERROR(VLOOKUP($K$60,Sheet4!$A$4:$S$65,3,FALSE),"")</f>
        <v>0</v>
      </c>
      <c r="M64" s="4" t="str">
        <f>IFERROR(VLOOKUP($K$60,Sheet4!$A$4:$S$65,4,FALSE),"")</f>
        <v/>
      </c>
      <c r="N64" s="217" t="str">
        <f>IFERROR(VLOOKUP($N$60,Sheet4!$A$4:$S$65,2,FALSE),"")</f>
        <v/>
      </c>
      <c r="O64" s="218">
        <f>IFERROR(VLOOKUP($N$60,Sheet4!$A$4:$S$65,3,FALSE),"")</f>
        <v>0</v>
      </c>
      <c r="P64" s="4" t="str">
        <f>IFERROR(VLOOKUP($N$60,Sheet4!$A$4:$S$65,4,FALSE),"")</f>
        <v/>
      </c>
      <c r="Q64" s="217" t="str">
        <f>IFERROR(VLOOKUP($Q$60,Sheet4!$A$4:$S$65,2,FALSE),"")</f>
        <v/>
      </c>
      <c r="R64" s="218">
        <f>IFERROR(VLOOKUP($Q$60,Sheet4!$A$4:$S$65,3,FALSE),"")</f>
        <v>0</v>
      </c>
      <c r="S64" s="4" t="str">
        <f>IFERROR(VLOOKUP($Q$60,Sheet4!$A$4:$S$65,4,FALSE),"")</f>
        <v/>
      </c>
      <c r="T64" s="217" t="str">
        <f>IFERROR(VLOOKUP($T$60,Sheet4!$A$4:$S$65,2,FALSE),"")</f>
        <v/>
      </c>
      <c r="U64" s="218">
        <f>IFERROR(VLOOKUP($T$60,Sheet4!$A$4:$S$65,3,FALSE),"")</f>
        <v>0</v>
      </c>
      <c r="V64" s="4" t="str">
        <f>IFERROR(VLOOKUP($T$60,Sheet4!$A$4:$S$65,4,FALSE),"")</f>
        <v/>
      </c>
    </row>
    <row r="65" spans="1:22" ht="15.95" customHeight="1" x14ac:dyDescent="0.25">
      <c r="A65" s="31" t="str">
        <f>IF(DevMode!B7="","Unused",DevMode!B7)</f>
        <v>ADNCO (FC-370)</v>
      </c>
      <c r="B65" s="217" t="str">
        <f>IFERROR(VLOOKUP($B$60,Sheet4!$A$4:$S$65,5,FALSE),"")</f>
        <v/>
      </c>
      <c r="C65" s="218">
        <f>IFERROR(VLOOKUP($B$60,Sheet4!$A$4:$S$65,6,FALSE),"")</f>
        <v>0</v>
      </c>
      <c r="D65" s="4" t="str">
        <f>IFERROR(VLOOKUP($B$60,Sheet4!$A$4:$S$65,7,FALSE),"")</f>
        <v/>
      </c>
      <c r="E65" s="217" t="str">
        <f>IFERROR(VLOOKUP($E$60,Sheet4!$A$4:$S$65,5,FALSE),"")</f>
        <v/>
      </c>
      <c r="F65" s="218">
        <f>IFERROR(VLOOKUP($E$60,Sheet4!$A$4:$S$65,6,FALSE),"")</f>
        <v>0</v>
      </c>
      <c r="G65" s="4" t="str">
        <f>IFERROR(VLOOKUP($E$60,Sheet4!$A$4:$S$65,7,FALSE),"")</f>
        <v/>
      </c>
      <c r="H65" s="217" t="str">
        <f>IFERROR(VLOOKUP($H$60,Sheet4!$A$4:$S$65,5,FALSE),"")</f>
        <v/>
      </c>
      <c r="I65" s="218">
        <f>IFERROR(VLOOKUP($H$60,Sheet4!$A$4:$S$65,6,FALSE),"")</f>
        <v>0</v>
      </c>
      <c r="J65" s="4" t="str">
        <f>IFERROR(VLOOKUP($H$60,Sheet4!$A$4:$S$65,7,FALSE),"")</f>
        <v/>
      </c>
      <c r="K65" s="217" t="str">
        <f>IFERROR(VLOOKUP($K$60,Sheet4!$A$4:$S$65,5,FALSE),"")</f>
        <v/>
      </c>
      <c r="L65" s="218">
        <f>IFERROR(VLOOKUP($K$60,Sheet4!$A$4:$S$65,6,FALSE),"")</f>
        <v>0</v>
      </c>
      <c r="M65" s="4" t="str">
        <f>IFERROR(VLOOKUP($K$60,Sheet4!$A$4:$S$65,7,FALSE),"")</f>
        <v/>
      </c>
      <c r="N65" s="217" t="str">
        <f>IFERROR(VLOOKUP($N$60,Sheet4!$A$4:$S$65,5,FALSE),"")</f>
        <v/>
      </c>
      <c r="O65" s="218">
        <f>IFERROR(VLOOKUP($N$60,Sheet4!$A$4:$S$65,6,FALSE),"")</f>
        <v>0</v>
      </c>
      <c r="P65" s="4" t="str">
        <f>IFERROR(VLOOKUP($N$60,Sheet4!$A$4:$S$65,7,FALSE),"")</f>
        <v/>
      </c>
      <c r="Q65" s="217" t="str">
        <f>IFERROR(VLOOKUP($Q$60,Sheet4!$A$4:$S$65,5,FALSE),"")</f>
        <v/>
      </c>
      <c r="R65" s="218">
        <f>IFERROR(VLOOKUP($Q$60,Sheet4!$A$4:$S$65,6,FALSE),"")</f>
        <v>0</v>
      </c>
      <c r="S65" s="4" t="str">
        <f>IFERROR(VLOOKUP($Q$60,Sheet4!$A$4:$S$65,7,FALSE),"")</f>
        <v/>
      </c>
      <c r="T65" s="217" t="str">
        <f>IFERROR(VLOOKUP($T$60,Sheet4!$A$4:$S$65,5,FALSE),"")</f>
        <v/>
      </c>
      <c r="U65" s="218">
        <f>IFERROR(VLOOKUP($T$60,Sheet4!$A$4:$S$65,6,FALSE),"")</f>
        <v>0</v>
      </c>
      <c r="V65" s="4" t="str">
        <f>IFERROR(VLOOKUP($T$60,Sheet4!$A$4:$S$65,7,FALSE),"")</f>
        <v/>
      </c>
    </row>
    <row r="66" spans="1:22" ht="15.95" customHeight="1" x14ac:dyDescent="0.25">
      <c r="A66" s="31" t="str">
        <f>IF(DevMode!B8="","Unused",DevMode!B8)</f>
        <v>Rover 1 (FC-371)</v>
      </c>
      <c r="B66" s="217" t="str">
        <f>IFERROR(VLOOKUP($B$60,Sheet4!$A$4:$S$65,8,FALSE),"")</f>
        <v/>
      </c>
      <c r="C66" s="218">
        <f>IFERROR(VLOOKUP($B$60,Sheet4!$A$4:$S$65,9,FALSE),"")</f>
        <v>0</v>
      </c>
      <c r="D66" s="4" t="str">
        <f>IFERROR(VLOOKUP($B$60,Sheet4!$A$4:$S$65,10,FALSE),"")</f>
        <v/>
      </c>
      <c r="E66" s="217" t="str">
        <f>IFERROR(VLOOKUP($E$60,Sheet4!$A$4:$S$65,8,FALSE),"")</f>
        <v/>
      </c>
      <c r="F66" s="218">
        <f>IFERROR(VLOOKUP($E$60,Sheet4!$A$4:$S$65,9,FALSE),"")</f>
        <v>0</v>
      </c>
      <c r="G66" s="4" t="str">
        <f>IFERROR(VLOOKUP($E$60,Sheet4!$A$4:$S$65,10,FALSE),"")</f>
        <v/>
      </c>
      <c r="H66" s="217" t="str">
        <f>IFERROR(VLOOKUP($H$60,Sheet4!$A$4:$S$65,8,FALSE),"")</f>
        <v/>
      </c>
      <c r="I66" s="218">
        <f>IFERROR(VLOOKUP($H$60,Sheet4!$A$4:$S$65,9,FALSE),"")</f>
        <v>0</v>
      </c>
      <c r="J66" s="4" t="str">
        <f>IFERROR(VLOOKUP($H$60,Sheet4!$A$4:$S$65,10,FALSE),"")</f>
        <v/>
      </c>
      <c r="K66" s="217" t="str">
        <f>IFERROR(VLOOKUP($K$60,Sheet4!$A$4:$S$65,8,FALSE),"")</f>
        <v/>
      </c>
      <c r="L66" s="218">
        <f>IFERROR(VLOOKUP($K$60,Sheet4!$A$4:$S$65,9,FALSE),"")</f>
        <v>0</v>
      </c>
      <c r="M66" s="4" t="str">
        <f>IFERROR(VLOOKUP($K$60,Sheet4!$A$4:$S$65,10,FALSE),"")</f>
        <v/>
      </c>
      <c r="N66" s="217" t="str">
        <f>IFERROR(VLOOKUP($N$60,Sheet4!$A$4:$S$65,8,FALSE),"")</f>
        <v/>
      </c>
      <c r="O66" s="218">
        <f>IFERROR(VLOOKUP($N$60,Sheet4!$A$4:$S$65,9,FALSE),"")</f>
        <v>0</v>
      </c>
      <c r="P66" s="4" t="str">
        <f>IFERROR(VLOOKUP($N$60,Sheet4!$A$4:$S$65,10,FALSE),"")</f>
        <v/>
      </c>
      <c r="Q66" s="217" t="str">
        <f>IFERROR(VLOOKUP($Q$60,Sheet4!$A$4:$S$65,8,FALSE),"")</f>
        <v/>
      </c>
      <c r="R66" s="218">
        <f>IFERROR(VLOOKUP($Q$60,Sheet4!$A$4:$S$65,9,FALSE),"")</f>
        <v>0</v>
      </c>
      <c r="S66" s="4" t="str">
        <f>IFERROR(VLOOKUP($Q$60,Sheet4!$A$4:$S$65,10,FALSE),"")</f>
        <v/>
      </c>
      <c r="T66" s="217" t="str">
        <f>IFERROR(VLOOKUP($T$60,Sheet4!$A$4:$S$65,8,FALSE),"")</f>
        <v/>
      </c>
      <c r="U66" s="218">
        <f>IFERROR(VLOOKUP($T$60,Sheet4!$A$4:$S$65,9,FALSE),"")</f>
        <v>0</v>
      </c>
      <c r="V66" s="4" t="str">
        <f>IFERROR(VLOOKUP($T$60,Sheet4!$A$4:$S$65,10,FALSE),"")</f>
        <v/>
      </c>
    </row>
    <row r="67" spans="1:22" ht="15.95" customHeight="1" x14ac:dyDescent="0.25">
      <c r="A67" s="31" t="str">
        <f>IF(DevMode!B9="","Unused",DevMode!B9)</f>
        <v>Rover 2 (FC-371)</v>
      </c>
      <c r="B67" s="217" t="str">
        <f>IFERROR(VLOOKUP($B$60,Sheet4!$A$4:$S$65,11,FALSE),"")</f>
        <v/>
      </c>
      <c r="C67" s="218">
        <f>IFERROR(VLOOKUP($B$60,Sheet4!$A$4:$S$65,12,FALSE),"")</f>
        <v>0</v>
      </c>
      <c r="D67" s="4" t="str">
        <f>IFERROR(VLOOKUP($B$60,Sheet4!$A$4:$S$65,13,FALSE),"")</f>
        <v/>
      </c>
      <c r="E67" s="217" t="str">
        <f>IFERROR(VLOOKUP($E$60,Sheet4!$A$4:$S$65,11,FALSE),"")</f>
        <v/>
      </c>
      <c r="F67" s="218">
        <f>IFERROR(VLOOKUP($E$60,Sheet4!$A$4:$S$65,12,FALSE),"")</f>
        <v>0</v>
      </c>
      <c r="G67" s="4" t="str">
        <f>IFERROR(VLOOKUP($E$60,Sheet4!$A$4:$S$65,13,FALSE),"")</f>
        <v/>
      </c>
      <c r="H67" s="217" t="str">
        <f>IFERROR(VLOOKUP($H$60,Sheet4!$A$4:$S$65,11,FALSE),"")</f>
        <v/>
      </c>
      <c r="I67" s="218">
        <f>IFERROR(VLOOKUP($H$60,Sheet4!$A$4:$S$65,12,FALSE),"")</f>
        <v>0</v>
      </c>
      <c r="J67" s="4" t="str">
        <f>IFERROR(VLOOKUP($H$60,Sheet4!$A$4:$S$65,13,FALSE),"")</f>
        <v/>
      </c>
      <c r="K67" s="217" t="str">
        <f>IFERROR(VLOOKUP($K$60,Sheet4!$A$4:$S$65,11,FALSE),"")</f>
        <v/>
      </c>
      <c r="L67" s="218">
        <f>IFERROR(VLOOKUP($K$60,Sheet4!$A$4:$S$65,12,FALSE),"")</f>
        <v>0</v>
      </c>
      <c r="M67" s="4" t="str">
        <f>IFERROR(VLOOKUP($K$60,Sheet4!$A$4:$S$65,13,FALSE),"")</f>
        <v/>
      </c>
      <c r="N67" s="217" t="str">
        <f>IFERROR(VLOOKUP($N$60,Sheet4!$A$4:$S$65,11,FALSE),"")</f>
        <v/>
      </c>
      <c r="O67" s="218">
        <f>IFERROR(VLOOKUP($N$60,Sheet4!$A$4:$S$65,12,FALSE),"")</f>
        <v>0</v>
      </c>
      <c r="P67" s="4" t="str">
        <f>IFERROR(VLOOKUP($N$60,Sheet4!$A$4:$S$65,13,FALSE),"")</f>
        <v/>
      </c>
      <c r="Q67" s="217" t="str">
        <f>IFERROR(VLOOKUP($Q$60,Sheet4!$A$4:$S$65,11,FALSE),"")</f>
        <v/>
      </c>
      <c r="R67" s="218">
        <f>IFERROR(VLOOKUP($Q$60,Sheet4!$A$4:$S$65,12,FALSE),"")</f>
        <v>0</v>
      </c>
      <c r="S67" s="4" t="str">
        <f>IFERROR(VLOOKUP($Q$60,Sheet4!$A$4:$S$65,13,FALSE),"")</f>
        <v/>
      </c>
      <c r="T67" s="217" t="str">
        <f>IFERROR(VLOOKUP($T$60,Sheet4!$A$4:$S$65,11,FALSE),"")</f>
        <v/>
      </c>
      <c r="U67" s="218">
        <f>IFERROR(VLOOKUP($T$60,Sheet4!$A$4:$S$65,12,FALSE),"")</f>
        <v>0</v>
      </c>
      <c r="V67" s="4" t="str">
        <f>IFERROR(VLOOKUP($T$60,Sheet4!$A$4:$S$65,13,FALSE),"")</f>
        <v/>
      </c>
    </row>
    <row r="68" spans="1:22" ht="15.95" customHeight="1" x14ac:dyDescent="0.25">
      <c r="A68" s="31" t="str">
        <f>IF(DevMode!B10="","Unused",DevMode!B10)</f>
        <v>Rover 1 (FC-372)</v>
      </c>
      <c r="B68" s="217" t="str">
        <f>IFERROR(VLOOKUP($B$60,Sheet4!$A$4:$S$65,14,FALSE),"")</f>
        <v/>
      </c>
      <c r="C68" s="218">
        <f>IFERROR(VLOOKUP($B$60,Sheet4!$A$4:$S$65,15,FALSE),"")</f>
        <v>0</v>
      </c>
      <c r="D68" s="4" t="str">
        <f>IFERROR(VLOOKUP($B$60,Sheet4!$A$4:$S$65,16,FALSE),"")</f>
        <v/>
      </c>
      <c r="E68" s="217" t="str">
        <f>IFERROR(VLOOKUP($E$60,Sheet4!$A$4:$S$65,14,FALSE),"")</f>
        <v/>
      </c>
      <c r="F68" s="218">
        <f>IFERROR(VLOOKUP($E$60,Sheet4!$A$4:$S$65,15,FALSE),"")</f>
        <v>0</v>
      </c>
      <c r="G68" s="4" t="str">
        <f>IFERROR(VLOOKUP($E$60,Sheet4!$A$4:$S$65,16,FALSE),"")</f>
        <v/>
      </c>
      <c r="H68" s="217" t="str">
        <f>IFERROR(VLOOKUP($H$60,Sheet4!$A$4:$S$65,14,FALSE),"")</f>
        <v/>
      </c>
      <c r="I68" s="218">
        <f>IFERROR(VLOOKUP($H$60,Sheet4!$A$4:$S$65,15,FALSE),"")</f>
        <v>0</v>
      </c>
      <c r="J68" s="4" t="str">
        <f>IFERROR(VLOOKUP($H$60,Sheet4!$A$4:$S$65,16,FALSE),"")</f>
        <v/>
      </c>
      <c r="K68" s="217" t="str">
        <f>IFERROR(VLOOKUP($K$60,Sheet4!$A$4:$S$65,14,FALSE),"")</f>
        <v/>
      </c>
      <c r="L68" s="218">
        <f>IFERROR(VLOOKUP($K$60,Sheet4!$A$4:$S$65,15,FALSE),"")</f>
        <v>0</v>
      </c>
      <c r="M68" s="4" t="str">
        <f>IFERROR(VLOOKUP($K$60,Sheet4!$A$4:$S$65,16,FALSE),"")</f>
        <v/>
      </c>
      <c r="N68" s="217" t="str">
        <f>IFERROR(VLOOKUP($N$60,Sheet4!$A$4:$S$65,14,FALSE),"")</f>
        <v/>
      </c>
      <c r="O68" s="218">
        <f>IFERROR(VLOOKUP($N$60,Sheet4!$A$4:$S$65,15,FALSE),"")</f>
        <v>0</v>
      </c>
      <c r="P68" s="4" t="str">
        <f>IFERROR(VLOOKUP($N$60,Sheet4!$A$4:$S$65,16,FALSE),"")</f>
        <v/>
      </c>
      <c r="Q68" s="217" t="str">
        <f>IFERROR(VLOOKUP($Q$60,Sheet4!$A$4:$S$65,14,FALSE),"")</f>
        <v/>
      </c>
      <c r="R68" s="218">
        <f>IFERROR(VLOOKUP($Q$60,Sheet4!$A$4:$S$65,15,FALSE),"")</f>
        <v>0</v>
      </c>
      <c r="S68" s="4" t="str">
        <f>IFERROR(VLOOKUP($Q$60,Sheet4!$A$4:$S$65,16,FALSE),"")</f>
        <v/>
      </c>
      <c r="T68" s="217" t="str">
        <f>IFERROR(VLOOKUP($T$60,Sheet4!$A$4:$S$65,14,FALSE),"")</f>
        <v/>
      </c>
      <c r="U68" s="218">
        <f>IFERROR(VLOOKUP($T$60,Sheet4!$A$4:$S$65,15,FALSE),"")</f>
        <v>0</v>
      </c>
      <c r="V68" s="4" t="str">
        <f>IFERROR(VLOOKUP($T$60,Sheet4!$A$4:$S$65,16,FALSE),"")</f>
        <v/>
      </c>
    </row>
    <row r="69" spans="1:22" ht="15.95" customHeight="1" x14ac:dyDescent="0.25">
      <c r="A69" s="31" t="str">
        <f>IF(DevMode!B11="","Unused",DevMode!B11)</f>
        <v>Rover 2 (FC-372)</v>
      </c>
      <c r="B69" s="217" t="str">
        <f>IFERROR(VLOOKUP($B$60,Sheet4!$A$4:$S$65,17,FALSE),"")</f>
        <v/>
      </c>
      <c r="C69" s="218">
        <f>IFERROR(VLOOKUP($B$60,Sheet4!$A$4:$S$65,18,FALSE),"")</f>
        <v>0</v>
      </c>
      <c r="D69" s="4" t="str">
        <f>IFERROR(VLOOKUP($B$60,Sheet4!$A$4:$S$65,19,FALSE),"")</f>
        <v/>
      </c>
      <c r="E69" s="217" t="str">
        <f>IFERROR(VLOOKUP($E$60,Sheet4!$A$4:$S$65,17,FALSE),"")</f>
        <v/>
      </c>
      <c r="F69" s="218">
        <f>IFERROR(VLOOKUP($E$60,Sheet4!$A$4:$S$65,18,FALSE),"")</f>
        <v>0</v>
      </c>
      <c r="G69" s="4" t="str">
        <f>IFERROR(VLOOKUP($E$60,Sheet4!$A$4:$S$65,19,FALSE),"")</f>
        <v/>
      </c>
      <c r="H69" s="217" t="str">
        <f>IFERROR(VLOOKUP($H$60,Sheet4!$A$4:$S$65,17,FALSE),"")</f>
        <v/>
      </c>
      <c r="I69" s="218">
        <f>IFERROR(VLOOKUP($H$60,Sheet4!$A$4:$S$65,18,FALSE),"")</f>
        <v>0</v>
      </c>
      <c r="J69" s="4" t="str">
        <f>IFERROR(VLOOKUP($H$60,Sheet4!$A$4:$S$65,19,FALSE),"")</f>
        <v/>
      </c>
      <c r="K69" s="217" t="str">
        <f>IFERROR(VLOOKUP($K$60,Sheet4!$A$4:$S$65,17,FALSE),"")</f>
        <v/>
      </c>
      <c r="L69" s="218">
        <f>IFERROR(VLOOKUP($K$60,Sheet4!$A$4:$S$65,18,FALSE),"")</f>
        <v>0</v>
      </c>
      <c r="M69" s="4" t="str">
        <f>IFERROR(VLOOKUP($K$60,Sheet4!$A$4:$S$65,19,FALSE),"")</f>
        <v/>
      </c>
      <c r="N69" s="217" t="str">
        <f>IFERROR(VLOOKUP($N$60,Sheet4!$A$4:$S$65,17,FALSE),"")</f>
        <v/>
      </c>
      <c r="O69" s="218">
        <f>IFERROR(VLOOKUP($N$60,Sheet4!$A$4:$S$65,18,FALSE),"")</f>
        <v>0</v>
      </c>
      <c r="P69" s="4" t="str">
        <f>IFERROR(VLOOKUP($N$60,Sheet4!$A$4:$S$65,19,FALSE),"")</f>
        <v/>
      </c>
      <c r="Q69" s="217" t="str">
        <f>IFERROR(VLOOKUP($Q$60,Sheet4!$A$4:$S$65,17,FALSE),"")</f>
        <v/>
      </c>
      <c r="R69" s="218">
        <f>IFERROR(VLOOKUP($Q$60,Sheet4!$A$4:$S$65,18,FALSE),"")</f>
        <v>0</v>
      </c>
      <c r="S69" s="4" t="str">
        <f>IFERROR(VLOOKUP($Q$60,Sheet4!$A$4:$S$65,19,FALSE),"")</f>
        <v/>
      </c>
      <c r="T69" s="217" t="str">
        <f>IFERROR(VLOOKUP($T$60,Sheet4!$A$4:$S$65,17,FALSE),"")</f>
        <v/>
      </c>
      <c r="U69" s="218">
        <f>IFERROR(VLOOKUP($T$60,Sheet4!$A$4:$S$65,18,FALSE),"")</f>
        <v>0</v>
      </c>
      <c r="V69" s="4" t="str">
        <f>IFERROR(VLOOKUP($T$60,Sheet4!$A$4:$S$65,19,FALSE),"")</f>
        <v/>
      </c>
    </row>
    <row r="70" spans="1:22" ht="15.95" customHeight="1" x14ac:dyDescent="0.25">
      <c r="A70" s="31" t="str">
        <f>IF(DevMode!B12="","Unused",DevMode!B12)</f>
        <v>DNCO (FC-481)</v>
      </c>
      <c r="B70" s="217" t="str">
        <f>IFERROR(VLOOKUP($B$60,Sheet5!$A$4:$M$63,2,FALSE),"")</f>
        <v/>
      </c>
      <c r="C70" s="218">
        <f>IFERROR(VLOOKUP($B$60,Sheet5!$A$4:$M$63,3,FALSE),"")</f>
        <v>0</v>
      </c>
      <c r="D70" s="4" t="str">
        <f>IFERROR(VLOOKUP($B$60,Sheet5!$A$4:$M$63,4,FALSE),"")</f>
        <v/>
      </c>
      <c r="E70" s="217" t="str">
        <f>IFERROR(VLOOKUP($E$60,Sheet5!$A$4:$M$63,2,FALSE),"")</f>
        <v/>
      </c>
      <c r="F70" s="218">
        <f>IFERROR(VLOOKUP($E$60,Sheet5!$A$4:$M$63,3,FALSE),"")</f>
        <v>0</v>
      </c>
      <c r="G70" s="4" t="str">
        <f>IFERROR(VLOOKUP($E$60,Sheet5!$A$4:$M$63,4,FALSE),"")</f>
        <v/>
      </c>
      <c r="H70" s="217" t="str">
        <f>IFERROR(VLOOKUP($H$60,Sheet5!$A$4:$M$63,2,FALSE),"")</f>
        <v/>
      </c>
      <c r="I70" s="218">
        <f>IFERROR(VLOOKUP($H$60,Sheet5!$A$4:$M$63,3,FALSE),"")</f>
        <v>0</v>
      </c>
      <c r="J70" s="4" t="str">
        <f>IFERROR(VLOOKUP($H$60,Sheet5!$A$4:$M$63,4,FALSE),"")</f>
        <v/>
      </c>
      <c r="K70" s="217" t="str">
        <f>IFERROR(VLOOKUP($K$60,Sheet5!$A$4:$M$63,2,FALSE),"")</f>
        <v/>
      </c>
      <c r="L70" s="218">
        <f>IFERROR(VLOOKUP($K$60,Sheet5!$A$4:$M$63,3,FALSE),"")</f>
        <v>0</v>
      </c>
      <c r="M70" s="4" t="str">
        <f>IFERROR(VLOOKUP($K$60,Sheet5!$A$4:$M$63,4,FALSE),"")</f>
        <v/>
      </c>
      <c r="N70" s="217" t="str">
        <f>IFERROR(VLOOKUP($N$60,Sheet5!$A$4:$M$63,2,FALSE),"")</f>
        <v/>
      </c>
      <c r="O70" s="218">
        <f>IFERROR(VLOOKUP($N$60,Sheet5!$A$4:$M$63,3,FALSE),"")</f>
        <v>0</v>
      </c>
      <c r="P70" s="4" t="str">
        <f>IFERROR(VLOOKUP($N$60,Sheet5!$A$4:$M$63,4,FALSE),"")</f>
        <v/>
      </c>
      <c r="Q70" s="217" t="str">
        <f>IFERROR(VLOOKUP($Q$60,Sheet5!$A$4:$M$63,2,FALSE),"")</f>
        <v/>
      </c>
      <c r="R70" s="218">
        <f>IFERROR(VLOOKUP($Q$60,Sheet5!$A$4:$M$63,3,FALSE),"")</f>
        <v>0</v>
      </c>
      <c r="S70" s="4" t="str">
        <f>IFERROR(VLOOKUP($Q$60,Sheet5!$A$4:$M$63,4,FALSE),"")</f>
        <v/>
      </c>
      <c r="T70" s="217" t="str">
        <f>IFERROR(VLOOKUP($T$60,Sheet5!$A$4:$M$63,2,FALSE),"")</f>
        <v/>
      </c>
      <c r="U70" s="218">
        <f>IFERROR(VLOOKUP($T$60,Sheet5!$A$4:$M$63,3,FALSE),"")</f>
        <v>0</v>
      </c>
      <c r="V70" s="4" t="str">
        <f>IFERROR(VLOOKUP($T$60,Sheet5!$A$4:$M$63,4,FALSE),"")</f>
        <v/>
      </c>
    </row>
    <row r="71" spans="1:22" ht="15.95" customHeight="1" x14ac:dyDescent="0.25">
      <c r="A71" s="31" t="str">
        <f>IF(DevMode!B13="","Unused",DevMode!B13)</f>
        <v>ADNCO (FC-481)</v>
      </c>
      <c r="B71" s="217" t="str">
        <f>IFERROR(VLOOKUP($B$60,Sheet5!$A$4:$M$63,5,FALSE),"")</f>
        <v/>
      </c>
      <c r="C71" s="218">
        <f>IFERROR(VLOOKUP($B$60,Sheet5!$A$4:$M$63,6,FALSE),"")</f>
        <v>0</v>
      </c>
      <c r="D71" s="4" t="str">
        <f>IFERROR(VLOOKUP($B$60,Sheet5!$A$4:$M$63,7,FALSE),"")</f>
        <v/>
      </c>
      <c r="E71" s="217" t="str">
        <f>IFERROR(VLOOKUP($E$60,Sheet5!$A$4:$M$63,5,FALSE),"")</f>
        <v/>
      </c>
      <c r="F71" s="218">
        <f>IFERROR(VLOOKUP($E$60,Sheet5!$A$4:$M$63,6,FALSE),"")</f>
        <v>0</v>
      </c>
      <c r="G71" s="4" t="str">
        <f>IFERROR(VLOOKUP($E$60,Sheet5!$A$4:$M$63,7,FALSE),"")</f>
        <v/>
      </c>
      <c r="H71" s="217" t="str">
        <f>IFERROR(VLOOKUP($H$60,Sheet5!$A$4:$M$63,5,FALSE),"")</f>
        <v/>
      </c>
      <c r="I71" s="218">
        <f>IFERROR(VLOOKUP($H$60,Sheet5!$A$4:$M$63,6,FALSE),"")</f>
        <v>0</v>
      </c>
      <c r="J71" s="4" t="str">
        <f>IFERROR(VLOOKUP($H$60,Sheet5!$A$4:$M$63,7,FALSE),"")</f>
        <v/>
      </c>
      <c r="K71" s="217" t="str">
        <f>IFERROR(VLOOKUP($K$60,Sheet5!$A$4:$M$63,5,FALSE),"")</f>
        <v/>
      </c>
      <c r="L71" s="218">
        <f>IFERROR(VLOOKUP($K$60,Sheet5!$A$4:$M$63,6,FALSE),"")</f>
        <v>0</v>
      </c>
      <c r="M71" s="4" t="str">
        <f>IFERROR(VLOOKUP($K$60,Sheet5!$A$4:$M$63,7,FALSE),"")</f>
        <v/>
      </c>
      <c r="N71" s="217" t="str">
        <f>IFERROR(VLOOKUP($N$60,Sheet5!$A$4:$M$63,5,FALSE),"")</f>
        <v/>
      </c>
      <c r="O71" s="218">
        <f>IFERROR(VLOOKUP($N$60,Sheet5!$A$4:$M$63,6,FALSE),"")</f>
        <v>0</v>
      </c>
      <c r="P71" s="4" t="str">
        <f>IFERROR(VLOOKUP($N$60,Sheet5!$A$4:$M$63,7,FALSE),"")</f>
        <v/>
      </c>
      <c r="Q71" s="217" t="str">
        <f>IFERROR(VLOOKUP($Q$60,Sheet5!$A$4:$M$63,5,FALSE),"")</f>
        <v/>
      </c>
      <c r="R71" s="218">
        <f>IFERROR(VLOOKUP($Q$60,Sheet5!$A$4:$M$63,6,FALSE),"")</f>
        <v>0</v>
      </c>
      <c r="S71" s="4" t="str">
        <f>IFERROR(VLOOKUP($Q$60,Sheet5!$A$4:$M$63,7,FALSE),"")</f>
        <v/>
      </c>
      <c r="T71" s="217" t="str">
        <f>IFERROR(VLOOKUP($T$60,Sheet5!$A$4:$M$63,5,FALSE),"")</f>
        <v/>
      </c>
      <c r="U71" s="218">
        <f>IFERROR(VLOOKUP($T$60,Sheet5!$A$4:$M$63,6,FALSE),"")</f>
        <v>0</v>
      </c>
      <c r="V71" s="4" t="str">
        <f>IFERROR(VLOOKUP($T$60,Sheet5!$A$4:$M$63,7,FALSE),"")</f>
        <v/>
      </c>
    </row>
    <row r="72" spans="1:22" ht="15.95" customHeight="1" x14ac:dyDescent="0.25">
      <c r="A72" s="31" t="str">
        <f>IF(DevMode!B14="","Unused",DevMode!B14)</f>
        <v>Rover 1 (FC-481)</v>
      </c>
      <c r="B72" s="217" t="str">
        <f>IFERROR(VLOOKUP($B$60,Sheet5!$A$4:$M$63,8,FALSE),"")</f>
        <v/>
      </c>
      <c r="C72" s="218">
        <f>IFERROR(VLOOKUP($B$60,Sheet5!$A$4:$M$63,9,FALSE),"")</f>
        <v>0</v>
      </c>
      <c r="D72" s="4" t="str">
        <f>IFERROR(VLOOKUP($B$60,Sheet5!$A$4:$M$63,10,FALSE),"")</f>
        <v/>
      </c>
      <c r="E72" s="217" t="str">
        <f>IFERROR(VLOOKUP($E$60,Sheet5!$A$4:$M$63,8,FALSE),"")</f>
        <v/>
      </c>
      <c r="F72" s="218">
        <f>IFERROR(VLOOKUP($E$60,Sheet5!$A$4:$M$63,9,FALSE),"")</f>
        <v>0</v>
      </c>
      <c r="G72" s="4" t="str">
        <f>IFERROR(VLOOKUP($E$60,Sheet5!$A$4:$M$63,10,FALSE),"")</f>
        <v/>
      </c>
      <c r="H72" s="217" t="str">
        <f>IFERROR(VLOOKUP($H$60,Sheet5!$A$4:$M$63,8,FALSE),"")</f>
        <v/>
      </c>
      <c r="I72" s="218">
        <f>IFERROR(VLOOKUP($H$60,Sheet5!$A$4:$M$63,9,FALSE),"")</f>
        <v>0</v>
      </c>
      <c r="J72" s="4" t="str">
        <f>IFERROR(VLOOKUP($H$60,Sheet5!$A$4:$M$63,10,FALSE),"")</f>
        <v/>
      </c>
      <c r="K72" s="217" t="str">
        <f>IFERROR(VLOOKUP($K$60,Sheet5!$A$4:$M$63,8,FALSE),"")</f>
        <v/>
      </c>
      <c r="L72" s="218">
        <f>IFERROR(VLOOKUP($K$60,Sheet5!$A$4:$M$63,9,FALSE),"")</f>
        <v>0</v>
      </c>
      <c r="M72" s="4" t="str">
        <f>IFERROR(VLOOKUP($K$60,Sheet5!$A$4:$M$63,10,FALSE),"")</f>
        <v/>
      </c>
      <c r="N72" s="217" t="str">
        <f>IFERROR(VLOOKUP($N$60,Sheet5!$A$4:$M$63,8,FALSE),"")</f>
        <v/>
      </c>
      <c r="O72" s="218">
        <f>IFERROR(VLOOKUP($N$60,Sheet5!$A$4:$M$63,9,FALSE),"")</f>
        <v>0</v>
      </c>
      <c r="P72" s="4" t="str">
        <f>IFERROR(VLOOKUP($N$60,Sheet5!$A$4:$M$63,10,FALSE),"")</f>
        <v/>
      </c>
      <c r="Q72" s="217" t="str">
        <f>IFERROR(VLOOKUP($Q$60,Sheet5!$A$4:$M$63,8,FALSE),"")</f>
        <v/>
      </c>
      <c r="R72" s="218">
        <f>IFERROR(VLOOKUP($Q$60,Sheet5!$A$4:$M$63,9,FALSE),"")</f>
        <v>0</v>
      </c>
      <c r="S72" s="4" t="str">
        <f>IFERROR(VLOOKUP($Q$60,Sheet5!$A$4:$M$63,10,FALSE),"")</f>
        <v/>
      </c>
      <c r="T72" s="217" t="str">
        <f>IFERROR(VLOOKUP($T$60,Sheet5!$A$4:$M$63,8,FALSE),"")</f>
        <v/>
      </c>
      <c r="U72" s="218">
        <f>IFERROR(VLOOKUP($T$60,Sheet5!$A$4:$M$63,9,FALSE),"")</f>
        <v>0</v>
      </c>
      <c r="V72" s="4" t="str">
        <f>IFERROR(VLOOKUP($T$60,Sheet5!$A$4:$M$63,10,FALSE),"")</f>
        <v/>
      </c>
    </row>
    <row r="73" spans="1:22" ht="15.95" customHeight="1" thickBot="1" x14ac:dyDescent="0.3">
      <c r="A73" s="31" t="str">
        <f>IF(DevMode!B15="","Unused",DevMode!B15)</f>
        <v>Rover 2 (FC-481)</v>
      </c>
      <c r="B73" s="219" t="str">
        <f>IFERROR(VLOOKUP($B$60,Sheet5!$A$4:$M$63,11,FALSE),"")</f>
        <v/>
      </c>
      <c r="C73" s="220">
        <f>IFERROR(VLOOKUP($B$60,Sheet5!$A$4:$M$63,12,FALSE),"")</f>
        <v>0</v>
      </c>
      <c r="D73" s="5" t="str">
        <f>IFERROR(VLOOKUP($B$60,Sheet5!$A$4:$M$63,13,FALSE),"")</f>
        <v/>
      </c>
      <c r="E73" s="219" t="str">
        <f>IFERROR(VLOOKUP($E$60,Sheet5!$A$4:$M$63,11,FALSE),"")</f>
        <v/>
      </c>
      <c r="F73" s="220">
        <f>IFERROR(VLOOKUP($E$60,Sheet5!$A$4:$M$63,12,FALSE),"")</f>
        <v>0</v>
      </c>
      <c r="G73" s="5" t="str">
        <f>IFERROR(VLOOKUP($E$60,Sheet5!$A$4:$M$63,13,FALSE),"")</f>
        <v/>
      </c>
      <c r="H73" s="219" t="str">
        <f>IFERROR(VLOOKUP($H$60,Sheet5!$A$4:$M$63,11,FALSE),"")</f>
        <v/>
      </c>
      <c r="I73" s="220">
        <f>IFERROR(VLOOKUP($H$60,Sheet5!$A$4:$M$63,12,FALSE),"")</f>
        <v>0</v>
      </c>
      <c r="J73" s="5" t="str">
        <f>IFERROR(VLOOKUP($H$60,Sheet5!$A$4:$M$63,13,FALSE),"")</f>
        <v/>
      </c>
      <c r="K73" s="219" t="str">
        <f>IFERROR(VLOOKUP($K$60,Sheet5!$A$4:$M$63,11,FALSE),"")</f>
        <v/>
      </c>
      <c r="L73" s="220">
        <f>IFERROR(VLOOKUP($K$60,Sheet5!$A$4:$M$63,12,FALSE),"")</f>
        <v>0</v>
      </c>
      <c r="M73" s="5" t="str">
        <f>IFERROR(VLOOKUP($K$60,Sheet5!$A$4:$M$63,13,FALSE),"")</f>
        <v/>
      </c>
      <c r="N73" s="219" t="str">
        <f>IFERROR(VLOOKUP($N$60,Sheet5!$A$4:$M$63,11,FALSE),"")</f>
        <v/>
      </c>
      <c r="O73" s="220">
        <f>IFERROR(VLOOKUP($N$60,Sheet5!$A$4:$M$63,12,FALSE),"")</f>
        <v>0</v>
      </c>
      <c r="P73" s="5" t="str">
        <f>IFERROR(VLOOKUP($N$60,Sheet5!$A$4:$M$63,13,FALSE),"")</f>
        <v/>
      </c>
      <c r="Q73" s="219" t="str">
        <f>IFERROR(VLOOKUP($Q$60,Sheet5!$A$4:$M$63,11,FALSE),"")</f>
        <v/>
      </c>
      <c r="R73" s="220">
        <f>IFERROR(VLOOKUP($Q$60,Sheet5!$A$4:$M$63,12,FALSE),"")</f>
        <v>0</v>
      </c>
      <c r="S73" s="5" t="str">
        <f>IFERROR(VLOOKUP($Q$60,Sheet5!$A$4:$M$63,13,FALSE),"")</f>
        <v/>
      </c>
      <c r="T73" s="219" t="str">
        <f>IFERROR(VLOOKUP($T$60,Sheet5!$A$4:$M$63,11,FALSE),"")</f>
        <v/>
      </c>
      <c r="U73" s="220">
        <f>IFERROR(VLOOKUP($T$60,Sheet5!$A$4:$M$63,12,FALSE),"")</f>
        <v>0</v>
      </c>
      <c r="V73" s="5" t="str">
        <f>IFERROR(VLOOKUP($T$60,Sheet5!$A$4:$M$63,13,FALSE),"")</f>
        <v/>
      </c>
    </row>
    <row r="74" spans="1:22" ht="15.95" customHeight="1" thickBot="1" x14ac:dyDescent="0.3">
      <c r="A74" s="1"/>
      <c r="B74" s="2" t="str">
        <f>IFERROR(T60+1,"")</f>
        <v/>
      </c>
      <c r="C74" s="351"/>
      <c r="D74" s="352"/>
      <c r="E74" s="2" t="str">
        <f>IFERROR(B74+1,"")</f>
        <v/>
      </c>
      <c r="F74" s="351"/>
      <c r="G74" s="352"/>
      <c r="H74" s="2" t="str">
        <f>IFERROR(E74+1,"")</f>
        <v/>
      </c>
      <c r="I74" s="351"/>
      <c r="J74" s="352"/>
      <c r="K74" s="2" t="str">
        <f>IFERROR(H74+1,"")</f>
        <v/>
      </c>
      <c r="L74" s="351"/>
      <c r="M74" s="352"/>
      <c r="N74" s="2" t="str">
        <f>IFERROR(K74+1,"")</f>
        <v/>
      </c>
      <c r="O74" s="351"/>
      <c r="P74" s="352"/>
      <c r="Q74" s="2" t="str">
        <f>IFERROR(N74+1,"")</f>
        <v/>
      </c>
      <c r="R74" s="351"/>
      <c r="S74" s="352"/>
      <c r="T74" s="2" t="str">
        <f>IFERROR(Q74+1,"")</f>
        <v/>
      </c>
      <c r="U74" s="351"/>
      <c r="V74" s="352"/>
    </row>
    <row r="75" spans="1:22" ht="15.95" customHeight="1" x14ac:dyDescent="0.25">
      <c r="A75" s="31" t="str">
        <f>IF(DevMode!B3="","Unused",DevMode!B3)</f>
        <v>OOD (FC-300)</v>
      </c>
      <c r="B75" s="215" t="str">
        <f>IFERROR(VLOOKUP($B$74,Sheet2!$A$4:$J$63,2,FALSE),"")</f>
        <v/>
      </c>
      <c r="C75" s="216">
        <f>IFERROR(VLOOKUP($B$74,Sheet2!$A$4:$J$63,3,FALSE),"")</f>
        <v>0</v>
      </c>
      <c r="D75" s="3">
        <f>IFERROR(VLOOKUP($B$74,Sheet2!$A$4:$J$63,4,FALSE),"")</f>
        <v>0</v>
      </c>
      <c r="E75" s="215" t="str">
        <f>IFERROR(VLOOKUP($E$74,Sheet2!$A$4:$J$63,2,FALSE),"")</f>
        <v/>
      </c>
      <c r="F75" s="216">
        <f>IFERROR(VLOOKUP($E$74,Sheet2!$A$4:$J$63,3,FALSE),"")</f>
        <v>0</v>
      </c>
      <c r="G75" s="3">
        <f>IFERROR(VLOOKUP($E$74,Sheet2!$A$4:$J$63,4,FALSE),"")</f>
        <v>0</v>
      </c>
      <c r="H75" s="215" t="str">
        <f>IFERROR(VLOOKUP($H$74,Sheet2!$A$4:$J$63,2,FALSE),"")</f>
        <v/>
      </c>
      <c r="I75" s="216">
        <f>IFERROR(VLOOKUP($H$74,Sheet2!$A$4:$J$63,3,FALSE),"")</f>
        <v>0</v>
      </c>
      <c r="J75" s="3">
        <f>IFERROR(VLOOKUP($H$74,Sheet2!$A$4:$J$63,4,FALSE),"")</f>
        <v>0</v>
      </c>
      <c r="K75" s="215" t="str">
        <f>IFERROR(VLOOKUP($K$74,Sheet2!$A$4:$J$63,2,FALSE),"")</f>
        <v/>
      </c>
      <c r="L75" s="216">
        <f>IFERROR(VLOOKUP($K$74,Sheet2!$A$4:$J$63,3,FALSE),"")</f>
        <v>0</v>
      </c>
      <c r="M75" s="3">
        <f>IFERROR(VLOOKUP($K$74,Sheet2!$A$4:$J$63,4,FALSE),"")</f>
        <v>0</v>
      </c>
      <c r="N75" s="215" t="str">
        <f>IFERROR(VLOOKUP($N$74,Sheet2!$A$4:$J$63,2,FALSE),"")</f>
        <v/>
      </c>
      <c r="O75" s="216">
        <f>IFERROR(VLOOKUP($N$74,Sheet2!$A$4:$J$63,3,FALSE),"")</f>
        <v>0</v>
      </c>
      <c r="P75" s="3">
        <f>IFERROR(VLOOKUP($N$74,Sheet2!$A$4:$J$63,4,FALSE),"")</f>
        <v>0</v>
      </c>
      <c r="Q75" s="215" t="str">
        <f>IFERROR(VLOOKUP($Q$74,Sheet2!$A$4:$J$63,2,FALSE),"")</f>
        <v/>
      </c>
      <c r="R75" s="216">
        <f>IFERROR(VLOOKUP($Q$74,Sheet2!$A$4:$J$63,3,FALSE),"")</f>
        <v>0</v>
      </c>
      <c r="S75" s="3">
        <f>IFERROR(VLOOKUP($Q$74,Sheet2!$A$4:$J$63,4,FALSE),"")</f>
        <v>0</v>
      </c>
      <c r="T75" s="215" t="str">
        <f>IFERROR(VLOOKUP($T$74,Sheet2!$A$4:$J$63,2,FALSE),"")</f>
        <v/>
      </c>
      <c r="U75" s="216">
        <f>IFERROR(VLOOKUP($T$74,Sheet2!$A$4:$J$63,3,FALSE),"")</f>
        <v>0</v>
      </c>
      <c r="V75" s="3">
        <f>IFERROR(VLOOKUP($T$74,Sheet2!$A$4:$J$63,4,FALSE),"")</f>
        <v>0</v>
      </c>
    </row>
    <row r="76" spans="1:22" ht="15.95" customHeight="1" x14ac:dyDescent="0.25">
      <c r="A76" s="31" t="str">
        <f>IF(DevMode!B4="","Unused",DevMode!B4)</f>
        <v>AOOD (FC-300)</v>
      </c>
      <c r="B76" s="217" t="str">
        <f>IFERROR(VLOOKUP($B$74,Sheet2!$A$4:$J$63,5,FALSE),"")</f>
        <v/>
      </c>
      <c r="C76" s="218">
        <f>IFERROR(VLOOKUP($B$74,Sheet2!$A$4:$J$63,6,FALSE),"")</f>
        <v>0</v>
      </c>
      <c r="D76" s="4" t="str">
        <f>IFERROR(VLOOKUP($B$74,Sheet2!$A$4:$J$63,7,FALSE),"")</f>
        <v/>
      </c>
      <c r="E76" s="217" t="str">
        <f>IFERROR(VLOOKUP($E$74,Sheet2!$A$4:$J$63,5,FALSE),"")</f>
        <v/>
      </c>
      <c r="F76" s="218">
        <f>IFERROR(VLOOKUP($E$74,Sheet2!$A$4:$J$63,6,FALSE),"")</f>
        <v>0</v>
      </c>
      <c r="G76" s="4" t="str">
        <f>IFERROR(VLOOKUP($E$74,Sheet2!$A$4:$J$63,7,FALSE),"")</f>
        <v/>
      </c>
      <c r="H76" s="217" t="str">
        <f>IFERROR(VLOOKUP($H$74,Sheet2!$A$4:$J$63,5,FALSE),"")</f>
        <v/>
      </c>
      <c r="I76" s="218">
        <f>IFERROR(VLOOKUP($H$74,Sheet2!$A$4:$J$63,6,FALSE),"")</f>
        <v>0</v>
      </c>
      <c r="J76" s="4" t="str">
        <f>IFERROR(VLOOKUP($H$74,Sheet2!$A$4:$J$63,7,FALSE),"")</f>
        <v/>
      </c>
      <c r="K76" s="217" t="str">
        <f>IFERROR(VLOOKUP($K$74,Sheet2!$A$4:$J$63,5,FALSE),"")</f>
        <v/>
      </c>
      <c r="L76" s="218">
        <f>IFERROR(VLOOKUP($K$74,Sheet2!$A$4:$J$63,6,FALSE),"")</f>
        <v>0</v>
      </c>
      <c r="M76" s="4" t="str">
        <f>IFERROR(VLOOKUP($K$74,Sheet2!$A$4:$J$63,7,FALSE),"")</f>
        <v/>
      </c>
      <c r="N76" s="217" t="str">
        <f>IFERROR(VLOOKUP($N$74,Sheet2!$A$4:$J$63,5,FALSE),"")</f>
        <v/>
      </c>
      <c r="O76" s="218">
        <f>IFERROR(VLOOKUP($N$74,Sheet2!$A$4:$J$63,6,FALSE),"")</f>
        <v>0</v>
      </c>
      <c r="P76" s="4" t="str">
        <f>IFERROR(VLOOKUP($N$74,Sheet2!$A$4:$J$63,7,FALSE),"")</f>
        <v/>
      </c>
      <c r="Q76" s="217" t="str">
        <f>IFERROR(VLOOKUP($Q$74,Sheet2!$A$4:$J$63,5,FALSE),"")</f>
        <v/>
      </c>
      <c r="R76" s="218">
        <f>IFERROR(VLOOKUP($Q$74,Sheet2!$A$4:$J$63,6,FALSE),"")</f>
        <v>0</v>
      </c>
      <c r="S76" s="4" t="str">
        <f>IFERROR(VLOOKUP($Q$74,Sheet2!$A$4:$J$63,7,FALSE),"")</f>
        <v/>
      </c>
      <c r="T76" s="217" t="str">
        <f>IFERROR(VLOOKUP($T$74,Sheet2!$A$4:$J$63,5,FALSE),"")</f>
        <v/>
      </c>
      <c r="U76" s="218">
        <f>IFERROR(VLOOKUP($T$74,Sheet2!$A$4:$J$63,6,FALSE),"")</f>
        <v>0</v>
      </c>
      <c r="V76" s="4" t="str">
        <f>IFERROR(VLOOKUP($T$74,Sheet2!$A$4:$J$63,7,FALSE),"")</f>
        <v/>
      </c>
    </row>
    <row r="77" spans="1:22" ht="15.95" customHeight="1" x14ac:dyDescent="0.25">
      <c r="A77" s="31" t="str">
        <f>IF(DevMode!B5="","Unused",DevMode!B5)</f>
        <v>Duty Driver (FC-300)</v>
      </c>
      <c r="B77" s="217" t="str">
        <f>IFERROR(VLOOKUP($B$74,Sheet2!$A$4:$J$63,8,FALSE),"")</f>
        <v/>
      </c>
      <c r="C77" s="218">
        <f>IFERROR(VLOOKUP($B$74,Sheet2!$A$4:$J$63,9,FALSE),"")</f>
        <v>0</v>
      </c>
      <c r="D77" s="4" t="str">
        <f>IFERROR(VLOOKUP($B$74,Sheet2!$A$4:$J$63,10,FALSE),"")</f>
        <v/>
      </c>
      <c r="E77" s="217" t="str">
        <f>IFERROR(VLOOKUP($E$74,Sheet2!$A$4:$J$63,8,FALSE),"")</f>
        <v/>
      </c>
      <c r="F77" s="218">
        <f>IFERROR(VLOOKUP($E$74,Sheet2!$A$4:$J$63,9,FALSE),"")</f>
        <v>0</v>
      </c>
      <c r="G77" s="4" t="str">
        <f>IFERROR(VLOOKUP($E$74,Sheet2!$A$4:$J$63,10,FALSE),"")</f>
        <v/>
      </c>
      <c r="H77" s="217" t="str">
        <f>IFERROR(VLOOKUP($H$74,Sheet2!$A$4:$J$63,8,FALSE),"")</f>
        <v/>
      </c>
      <c r="I77" s="218">
        <f>IFERROR(VLOOKUP($H$74,Sheet2!$A$4:$J$63,9,FALSE),"")</f>
        <v>0</v>
      </c>
      <c r="J77" s="4" t="str">
        <f>IFERROR(VLOOKUP($H$74,Sheet2!$A$4:$J$63,10,FALSE),"")</f>
        <v/>
      </c>
      <c r="K77" s="217" t="str">
        <f>IFERROR(VLOOKUP($K$74,Sheet2!$A$4:$J$63,8,FALSE),"")</f>
        <v/>
      </c>
      <c r="L77" s="218">
        <f>IFERROR(VLOOKUP($K$74,Sheet2!$A$4:$J$63,9,FALSE),"")</f>
        <v>0</v>
      </c>
      <c r="M77" s="4" t="str">
        <f>IFERROR(VLOOKUP($K$74,Sheet2!$A$4:$J$63,10,FALSE),"")</f>
        <v/>
      </c>
      <c r="N77" s="217" t="str">
        <f>IFERROR(VLOOKUP($N$74,Sheet2!$A$4:$J$63,8,FALSE),"")</f>
        <v/>
      </c>
      <c r="O77" s="218">
        <f>IFERROR(VLOOKUP($N$74,Sheet2!$A$4:$J$63,9,FALSE),"")</f>
        <v>0</v>
      </c>
      <c r="P77" s="4" t="str">
        <f>IFERROR(VLOOKUP($N$74,Sheet2!$A$4:$J$63,10,FALSE),"")</f>
        <v/>
      </c>
      <c r="Q77" s="217" t="str">
        <f>IFERROR(VLOOKUP($Q$74,Sheet2!$A$4:$J$63,8,FALSE),"")</f>
        <v/>
      </c>
      <c r="R77" s="218">
        <f>IFERROR(VLOOKUP($Q$74,Sheet2!$A$4:$J$63,9,FALSE),"")</f>
        <v>0</v>
      </c>
      <c r="S77" s="4" t="str">
        <f>IFERROR(VLOOKUP($Q$74,Sheet2!$A$4:$J$63,10,FALSE),"")</f>
        <v/>
      </c>
      <c r="T77" s="217" t="str">
        <f>IFERROR(VLOOKUP($T$74,Sheet2!$A$4:$J$63,8,FALSE),"")</f>
        <v/>
      </c>
      <c r="U77" s="218">
        <f>IFERROR(VLOOKUP($T$74,Sheet2!$A$4:$J$63,9,FALSE),"")</f>
        <v>0</v>
      </c>
      <c r="V77" s="4" t="str">
        <f>IFERROR(VLOOKUP($T$74,Sheet2!$A$4:$J$63,10,FALSE),"")</f>
        <v/>
      </c>
    </row>
    <row r="78" spans="1:22" ht="15.95" customHeight="1" x14ac:dyDescent="0.25">
      <c r="A78" s="31" t="str">
        <f>IF(DevMode!B6="","Unused",DevMode!B6)</f>
        <v>DNCO (FC-370)</v>
      </c>
      <c r="B78" s="217" t="str">
        <f>IFERROR(VLOOKUP($B$74,Sheet4!$A$4:$S$65,2,FALSE),"")</f>
        <v/>
      </c>
      <c r="C78" s="218">
        <f>IFERROR(VLOOKUP($B$74,Sheet4!$A$4:$S$65,3,FALSE),"")</f>
        <v>0</v>
      </c>
      <c r="D78" s="4" t="str">
        <f>IFERROR(VLOOKUP($B$74,Sheet4!$A$4:$S$65,4,FALSE),"")</f>
        <v/>
      </c>
      <c r="E78" s="217" t="str">
        <f>IFERROR(VLOOKUP($E$74,Sheet4!$A$4:$S$65,2,FALSE),"")</f>
        <v/>
      </c>
      <c r="F78" s="218">
        <f>IFERROR(VLOOKUP($E$74,Sheet4!$A$4:$S$65,3,FALSE),"")</f>
        <v>0</v>
      </c>
      <c r="G78" s="4" t="str">
        <f>IFERROR(VLOOKUP($E$74,Sheet4!$A$4:$S$65,4,FALSE),"")</f>
        <v/>
      </c>
      <c r="H78" s="217" t="str">
        <f>IFERROR(VLOOKUP($H$74,Sheet4!$A$4:$S$65,2,FALSE),"")</f>
        <v/>
      </c>
      <c r="I78" s="218">
        <f>IFERROR(VLOOKUP($H$74,Sheet4!$A$4:$S$65,3,FALSE),"")</f>
        <v>0</v>
      </c>
      <c r="J78" s="4" t="str">
        <f>IFERROR(VLOOKUP($H$74,Sheet4!$A$4:$S$65,4,FALSE),"")</f>
        <v/>
      </c>
      <c r="K78" s="217" t="str">
        <f>IFERROR(VLOOKUP($K$74,Sheet4!$A$4:$S$65,2,FALSE),"")</f>
        <v/>
      </c>
      <c r="L78" s="218">
        <f>IFERROR(VLOOKUP($K$74,Sheet4!$A$4:$S$65,3,FALSE),"")</f>
        <v>0</v>
      </c>
      <c r="M78" s="4" t="str">
        <f>IFERROR(VLOOKUP($K$74,Sheet4!$A$4:$S$65,4,FALSE),"")</f>
        <v/>
      </c>
      <c r="N78" s="217" t="str">
        <f>IFERROR(VLOOKUP($N$74,Sheet4!$A$4:$S$65,2,FALSE),"")</f>
        <v/>
      </c>
      <c r="O78" s="218">
        <f>IFERROR(VLOOKUP($N$74,Sheet4!$A$4:$S$65,3,FALSE),"")</f>
        <v>0</v>
      </c>
      <c r="P78" s="4" t="str">
        <f>IFERROR(VLOOKUP($N$74,Sheet4!$A$4:$S$65,4,FALSE),"")</f>
        <v/>
      </c>
      <c r="Q78" s="217" t="str">
        <f>IFERROR(VLOOKUP($Q$74,Sheet4!$A$4:$S$65,2,FALSE),"")</f>
        <v/>
      </c>
      <c r="R78" s="218">
        <f>IFERROR(VLOOKUP($Q$74,Sheet4!$A$4:$S$65,3,FALSE),"")</f>
        <v>0</v>
      </c>
      <c r="S78" s="4" t="str">
        <f>IFERROR(VLOOKUP($Q$74,Sheet4!$A$4:$S$65,4,FALSE),"")</f>
        <v/>
      </c>
      <c r="T78" s="217" t="str">
        <f>IFERROR(VLOOKUP($T$74,Sheet4!$A$4:$S$65,2,FALSE),"")</f>
        <v/>
      </c>
      <c r="U78" s="218">
        <f>IFERROR(VLOOKUP($T$74,Sheet4!$A$4:$S$65,3,FALSE),"")</f>
        <v>0</v>
      </c>
      <c r="V78" s="4" t="str">
        <f>IFERROR(VLOOKUP($T$74,Sheet4!$A$4:$S$65,4,FALSE),"")</f>
        <v/>
      </c>
    </row>
    <row r="79" spans="1:22" ht="15.95" customHeight="1" x14ac:dyDescent="0.25">
      <c r="A79" s="31" t="str">
        <f>IF(DevMode!B7="","Unused",DevMode!B7)</f>
        <v>ADNCO (FC-370)</v>
      </c>
      <c r="B79" s="217" t="str">
        <f>IFERROR(VLOOKUP($B$74,Sheet4!$A$4:$S$65,5,FALSE),"")</f>
        <v/>
      </c>
      <c r="C79" s="218">
        <f>IFERROR(VLOOKUP($B$74,Sheet4!$A$4:$S$65,6,FALSE),"")</f>
        <v>0</v>
      </c>
      <c r="D79" s="4" t="str">
        <f>IFERROR(VLOOKUP($B$74,Sheet4!$A$4:$S$65,7,FALSE),"")</f>
        <v/>
      </c>
      <c r="E79" s="217" t="str">
        <f>IFERROR(VLOOKUP($E$74,Sheet4!$A$4:$S$65,5,FALSE),"")</f>
        <v/>
      </c>
      <c r="F79" s="218">
        <f>IFERROR(VLOOKUP($E$74,Sheet4!$A$4:$S$65,6,FALSE),"")</f>
        <v>0</v>
      </c>
      <c r="G79" s="4" t="str">
        <f>IFERROR(VLOOKUP($E$74,Sheet4!$A$4:$S$65,7,FALSE),"")</f>
        <v/>
      </c>
      <c r="H79" s="217" t="str">
        <f>IFERROR(VLOOKUP($H$74,Sheet4!$A$4:$S$65,5,FALSE),"")</f>
        <v/>
      </c>
      <c r="I79" s="218">
        <f>IFERROR(VLOOKUP($H$74,Sheet4!$A$4:$S$65,6,FALSE),"")</f>
        <v>0</v>
      </c>
      <c r="J79" s="4" t="str">
        <f>IFERROR(VLOOKUP($H$74,Sheet4!$A$4:$S$65,7,FALSE),"")</f>
        <v/>
      </c>
      <c r="K79" s="217" t="str">
        <f>IFERROR(VLOOKUP($K$74,Sheet4!$A$4:$S$65,5,FALSE),"")</f>
        <v/>
      </c>
      <c r="L79" s="218">
        <f>IFERROR(VLOOKUP($K$74,Sheet4!$A$4:$S$65,6,FALSE),"")</f>
        <v>0</v>
      </c>
      <c r="M79" s="4" t="str">
        <f>IFERROR(VLOOKUP($K$74,Sheet4!$A$4:$S$65,7,FALSE),"")</f>
        <v/>
      </c>
      <c r="N79" s="217" t="str">
        <f>IFERROR(VLOOKUP($N$74,Sheet4!$A$4:$S$65,5,FALSE),"")</f>
        <v/>
      </c>
      <c r="O79" s="218">
        <f>IFERROR(VLOOKUP($N$74,Sheet4!$A$4:$S$65,6,FALSE),"")</f>
        <v>0</v>
      </c>
      <c r="P79" s="4" t="str">
        <f>IFERROR(VLOOKUP($N$74,Sheet4!$A$4:$S$65,7,FALSE),"")</f>
        <v/>
      </c>
      <c r="Q79" s="217" t="str">
        <f>IFERROR(VLOOKUP($Q$74,Sheet4!$A$4:$S$65,5,FALSE),"")</f>
        <v/>
      </c>
      <c r="R79" s="218">
        <f>IFERROR(VLOOKUP($Q$74,Sheet4!$A$4:$S$65,6,FALSE),"")</f>
        <v>0</v>
      </c>
      <c r="S79" s="4" t="str">
        <f>IFERROR(VLOOKUP($Q$74,Sheet4!$A$4:$S$65,7,FALSE),"")</f>
        <v/>
      </c>
      <c r="T79" s="217" t="str">
        <f>IFERROR(VLOOKUP($T$74,Sheet4!$A$4:$S$65,5,FALSE),"")</f>
        <v/>
      </c>
      <c r="U79" s="218">
        <f>IFERROR(VLOOKUP($T$74,Sheet4!$A$4:$S$65,6,FALSE),"")</f>
        <v>0</v>
      </c>
      <c r="V79" s="4" t="str">
        <f>IFERROR(VLOOKUP($T$74,Sheet4!$A$4:$S$65,7,FALSE),"")</f>
        <v/>
      </c>
    </row>
    <row r="80" spans="1:22" ht="15.95" customHeight="1" x14ac:dyDescent="0.25">
      <c r="A80" s="31" t="str">
        <f>IF(DevMode!B8="","Unused",DevMode!B8)</f>
        <v>Rover 1 (FC-371)</v>
      </c>
      <c r="B80" s="217" t="str">
        <f>IFERROR(VLOOKUP($B$74,Sheet4!$A$4:$S$65,8,FALSE),"")</f>
        <v/>
      </c>
      <c r="C80" s="218">
        <f>IFERROR(VLOOKUP($B$74,Sheet4!$A$4:$S$65,9,FALSE),"")</f>
        <v>0</v>
      </c>
      <c r="D80" s="4" t="str">
        <f>IFERROR(VLOOKUP($B$74,Sheet4!$A$4:$S$65,10,FALSE),"")</f>
        <v/>
      </c>
      <c r="E80" s="217" t="str">
        <f>IFERROR(VLOOKUP($E$74,Sheet4!$A$4:$S$65,8,FALSE),"")</f>
        <v/>
      </c>
      <c r="F80" s="218">
        <f>IFERROR(VLOOKUP($E$74,Sheet4!$A$4:$S$65,9,FALSE),"")</f>
        <v>0</v>
      </c>
      <c r="G80" s="4" t="str">
        <f>IFERROR(VLOOKUP($E$74,Sheet4!$A$4:$S$65,10,FALSE),"")</f>
        <v/>
      </c>
      <c r="H80" s="217" t="str">
        <f>IFERROR(VLOOKUP($H$74,Sheet4!$A$4:$S$65,8,FALSE),"")</f>
        <v/>
      </c>
      <c r="I80" s="218">
        <f>IFERROR(VLOOKUP($H$74,Sheet4!$A$4:$S$65,9,FALSE),"")</f>
        <v>0</v>
      </c>
      <c r="J80" s="4" t="str">
        <f>IFERROR(VLOOKUP($H$74,Sheet4!$A$4:$S$65,10,FALSE),"")</f>
        <v/>
      </c>
      <c r="K80" s="217" t="str">
        <f>IFERROR(VLOOKUP($K$74,Sheet4!$A$4:$S$65,8,FALSE),"")</f>
        <v/>
      </c>
      <c r="L80" s="218">
        <f>IFERROR(VLOOKUP($K$74,Sheet4!$A$4:$S$65,9,FALSE),"")</f>
        <v>0</v>
      </c>
      <c r="M80" s="4" t="str">
        <f>IFERROR(VLOOKUP($K$74,Sheet4!$A$4:$S$65,10,FALSE),"")</f>
        <v/>
      </c>
      <c r="N80" s="217" t="str">
        <f>IFERROR(VLOOKUP($N$74,Sheet4!$A$4:$S$65,8,FALSE),"")</f>
        <v/>
      </c>
      <c r="O80" s="218">
        <f>IFERROR(VLOOKUP($N$74,Sheet4!$A$4:$S$65,9,FALSE),"")</f>
        <v>0</v>
      </c>
      <c r="P80" s="4" t="str">
        <f>IFERROR(VLOOKUP($N$74,Sheet4!$A$4:$S$65,10,FALSE),"")</f>
        <v/>
      </c>
      <c r="Q80" s="217" t="str">
        <f>IFERROR(VLOOKUP($Q$74,Sheet4!$A$4:$S$65,8,FALSE),"")</f>
        <v/>
      </c>
      <c r="R80" s="218">
        <f>IFERROR(VLOOKUP($Q$74,Sheet4!$A$4:$S$65,9,FALSE),"")</f>
        <v>0</v>
      </c>
      <c r="S80" s="4" t="str">
        <f>IFERROR(VLOOKUP($Q$74,Sheet4!$A$4:$S$65,10,FALSE),"")</f>
        <v/>
      </c>
      <c r="T80" s="217" t="str">
        <f>IFERROR(VLOOKUP($T$74,Sheet4!$A$4:$S$65,8,FALSE),"")</f>
        <v/>
      </c>
      <c r="U80" s="218">
        <f>IFERROR(VLOOKUP($T$74,Sheet4!$A$4:$S$65,9,FALSE),"")</f>
        <v>0</v>
      </c>
      <c r="V80" s="4" t="str">
        <f>IFERROR(VLOOKUP($T$74,Sheet4!$A$4:$S$65,10,FALSE),"")</f>
        <v/>
      </c>
    </row>
    <row r="81" spans="1:22" ht="15.95" customHeight="1" x14ac:dyDescent="0.25">
      <c r="A81" s="31" t="str">
        <f>IF(DevMode!B9="","Unused",DevMode!B9)</f>
        <v>Rover 2 (FC-371)</v>
      </c>
      <c r="B81" s="217" t="str">
        <f>IFERROR(VLOOKUP($B$74,Sheet4!$A$4:$S$65,11,FALSE),"")</f>
        <v/>
      </c>
      <c r="C81" s="218">
        <f>IFERROR(VLOOKUP($B$74,Sheet4!$A$4:$S$65,12,FALSE),"")</f>
        <v>0</v>
      </c>
      <c r="D81" s="4" t="str">
        <f>IFERROR(VLOOKUP($B$74,Sheet4!$A$4:$S$65,13,FALSE),"")</f>
        <v/>
      </c>
      <c r="E81" s="217" t="str">
        <f>IFERROR(VLOOKUP($E$74,Sheet4!$A$4:$S$65,11,FALSE),"")</f>
        <v/>
      </c>
      <c r="F81" s="218">
        <f>IFERROR(VLOOKUP($E$74,Sheet4!$A$4:$S$65,12,FALSE),"")</f>
        <v>0</v>
      </c>
      <c r="G81" s="4" t="str">
        <f>IFERROR(VLOOKUP($E$74,Sheet4!$A$4:$S$65,13,FALSE),"")</f>
        <v/>
      </c>
      <c r="H81" s="217" t="str">
        <f>IFERROR(VLOOKUP($H$74,Sheet4!$A$4:$S$65,11,FALSE),"")</f>
        <v/>
      </c>
      <c r="I81" s="218">
        <f>IFERROR(VLOOKUP($H$74,Sheet4!$A$4:$S$65,12,FALSE),"")</f>
        <v>0</v>
      </c>
      <c r="J81" s="4" t="str">
        <f>IFERROR(VLOOKUP($H$74,Sheet4!$A$4:$S$65,13,FALSE),"")</f>
        <v/>
      </c>
      <c r="K81" s="217" t="str">
        <f>IFERROR(VLOOKUP($K$74,Sheet4!$A$4:$S$65,11,FALSE),"")</f>
        <v/>
      </c>
      <c r="L81" s="218">
        <f>IFERROR(VLOOKUP($K$74,Sheet4!$A$4:$S$65,12,FALSE),"")</f>
        <v>0</v>
      </c>
      <c r="M81" s="4" t="str">
        <f>IFERROR(VLOOKUP($K$74,Sheet4!$A$4:$S$65,13,FALSE),"")</f>
        <v/>
      </c>
      <c r="N81" s="217" t="str">
        <f>IFERROR(VLOOKUP($N$74,Sheet4!$A$4:$S$65,11,FALSE),"")</f>
        <v/>
      </c>
      <c r="O81" s="218">
        <f>IFERROR(VLOOKUP($N$74,Sheet4!$A$4:$S$65,12,FALSE),"")</f>
        <v>0</v>
      </c>
      <c r="P81" s="4" t="str">
        <f>IFERROR(VLOOKUP($N$74,Sheet4!$A$4:$S$65,13,FALSE),"")</f>
        <v/>
      </c>
      <c r="Q81" s="217" t="str">
        <f>IFERROR(VLOOKUP($Q$74,Sheet4!$A$4:$S$65,11,FALSE),"")</f>
        <v/>
      </c>
      <c r="R81" s="218">
        <f>IFERROR(VLOOKUP($Q$74,Sheet4!$A$4:$S$65,12,FALSE),"")</f>
        <v>0</v>
      </c>
      <c r="S81" s="4" t="str">
        <f>IFERROR(VLOOKUP($Q$74,Sheet4!$A$4:$S$65,13,FALSE),"")</f>
        <v/>
      </c>
      <c r="T81" s="217" t="str">
        <f>IFERROR(VLOOKUP($T$74,Sheet4!$A$4:$S$65,11,FALSE),"")</f>
        <v/>
      </c>
      <c r="U81" s="218">
        <f>IFERROR(VLOOKUP($T$74,Sheet4!$A$4:$S$65,12,FALSE),"")</f>
        <v>0</v>
      </c>
      <c r="V81" s="4" t="str">
        <f>IFERROR(VLOOKUP($T$74,Sheet4!$A$4:$S$65,13,FALSE),"")</f>
        <v/>
      </c>
    </row>
    <row r="82" spans="1:22" ht="15.95" customHeight="1" x14ac:dyDescent="0.25">
      <c r="A82" s="31" t="str">
        <f>IF(DevMode!B10="","Unused",DevMode!B10)</f>
        <v>Rover 1 (FC-372)</v>
      </c>
      <c r="B82" s="217" t="str">
        <f>IFERROR(VLOOKUP($B$74,Sheet4!$A$4:$S$65,14,FALSE),"")</f>
        <v/>
      </c>
      <c r="C82" s="218">
        <f>IFERROR(VLOOKUP($B$74,Sheet4!$A$4:$S$65,15,FALSE),"")</f>
        <v>0</v>
      </c>
      <c r="D82" s="4" t="str">
        <f>IFERROR(VLOOKUP($B$74,Sheet4!$A$4:$S$65,16,FALSE),"")</f>
        <v/>
      </c>
      <c r="E82" s="217" t="str">
        <f>IFERROR(VLOOKUP($E$74,Sheet4!$A$4:$S$65,14,FALSE),"")</f>
        <v/>
      </c>
      <c r="F82" s="218">
        <f>IFERROR(VLOOKUP($E$74,Sheet4!$A$4:$S$65,15,FALSE),"")</f>
        <v>0</v>
      </c>
      <c r="G82" s="4" t="str">
        <f>IFERROR(VLOOKUP($E$74,Sheet4!$A$4:$S$65,16,FALSE),"")</f>
        <v/>
      </c>
      <c r="H82" s="217" t="str">
        <f>IFERROR(VLOOKUP($H$74,Sheet4!$A$4:$S$65,14,FALSE),"")</f>
        <v/>
      </c>
      <c r="I82" s="218">
        <f>IFERROR(VLOOKUP($H$74,Sheet4!$A$4:$S$65,15,FALSE),"")</f>
        <v>0</v>
      </c>
      <c r="J82" s="4" t="str">
        <f>IFERROR(VLOOKUP($H$74,Sheet4!$A$4:$S$65,16,FALSE),"")</f>
        <v/>
      </c>
      <c r="K82" s="217" t="str">
        <f>IFERROR(VLOOKUP($K$74,Sheet4!$A$4:$S$65,14,FALSE),"")</f>
        <v/>
      </c>
      <c r="L82" s="218">
        <f>IFERROR(VLOOKUP($K$74,Sheet4!$A$4:$S$65,15,FALSE),"")</f>
        <v>0</v>
      </c>
      <c r="M82" s="4" t="str">
        <f>IFERROR(VLOOKUP($K$74,Sheet4!$A$4:$S$65,16,FALSE),"")</f>
        <v/>
      </c>
      <c r="N82" s="217" t="str">
        <f>IFERROR(VLOOKUP($N$74,Sheet4!$A$4:$S$65,14,FALSE),"")</f>
        <v/>
      </c>
      <c r="O82" s="218">
        <f>IFERROR(VLOOKUP($N$74,Sheet4!$A$4:$S$65,15,FALSE),"")</f>
        <v>0</v>
      </c>
      <c r="P82" s="4" t="str">
        <f>IFERROR(VLOOKUP($N$74,Sheet4!$A$4:$S$65,16,FALSE),"")</f>
        <v/>
      </c>
      <c r="Q82" s="217" t="str">
        <f>IFERROR(VLOOKUP($Q$74,Sheet4!$A$4:$S$65,14,FALSE),"")</f>
        <v/>
      </c>
      <c r="R82" s="218">
        <f>IFERROR(VLOOKUP($Q$74,Sheet4!$A$4:$S$65,15,FALSE),"")</f>
        <v>0</v>
      </c>
      <c r="S82" s="4" t="str">
        <f>IFERROR(VLOOKUP($Q$74,Sheet4!$A$4:$S$65,16,FALSE),"")</f>
        <v/>
      </c>
      <c r="T82" s="217" t="str">
        <f>IFERROR(VLOOKUP($T$74,Sheet4!$A$4:$S$65,14,FALSE),"")</f>
        <v/>
      </c>
      <c r="U82" s="218">
        <f>IFERROR(VLOOKUP($T$74,Sheet4!$A$4:$S$65,15,FALSE),"")</f>
        <v>0</v>
      </c>
      <c r="V82" s="4" t="str">
        <f>IFERROR(VLOOKUP($T$74,Sheet4!$A$4:$S$65,16,FALSE),"")</f>
        <v/>
      </c>
    </row>
    <row r="83" spans="1:22" ht="15.95" customHeight="1" x14ac:dyDescent="0.25">
      <c r="A83" s="31" t="str">
        <f>IF(DevMode!B11="","Unused",DevMode!B11)</f>
        <v>Rover 2 (FC-372)</v>
      </c>
      <c r="B83" s="217" t="str">
        <f>IFERROR(VLOOKUP($B$74,Sheet4!$A$4:$S$65,17,FALSE),"")</f>
        <v/>
      </c>
      <c r="C83" s="218">
        <f>IFERROR(VLOOKUP($B$74,Sheet4!$A$4:$S$65,18,FALSE),"")</f>
        <v>0</v>
      </c>
      <c r="D83" s="4" t="str">
        <f>IFERROR(VLOOKUP($B$74,Sheet4!$A$4:$S$65,19,FALSE),"")</f>
        <v/>
      </c>
      <c r="E83" s="217" t="str">
        <f>IFERROR(VLOOKUP($E$74,Sheet4!$A$4:$S$65,17,FALSE),"")</f>
        <v/>
      </c>
      <c r="F83" s="218">
        <f>IFERROR(VLOOKUP($E$74,Sheet4!$A$4:$S$65,18,FALSE),"")</f>
        <v>0</v>
      </c>
      <c r="G83" s="4" t="str">
        <f>IFERROR(VLOOKUP($E$74,Sheet4!$A$4:$S$65,19,FALSE),"")</f>
        <v/>
      </c>
      <c r="H83" s="217" t="str">
        <f>IFERROR(VLOOKUP($H$74,Sheet4!$A$4:$S$65,17,FALSE),"")</f>
        <v/>
      </c>
      <c r="I83" s="218">
        <f>IFERROR(VLOOKUP($H$74,Sheet4!$A$4:$S$65,18,FALSE),"")</f>
        <v>0</v>
      </c>
      <c r="J83" s="4" t="str">
        <f>IFERROR(VLOOKUP($H$74,Sheet4!$A$4:$S$65,19,FALSE),"")</f>
        <v/>
      </c>
      <c r="K83" s="217" t="str">
        <f>IFERROR(VLOOKUP($K$74,Sheet4!$A$4:$S$65,17,FALSE),"")</f>
        <v/>
      </c>
      <c r="L83" s="218">
        <f>IFERROR(VLOOKUP($K$74,Sheet4!$A$4:$S$65,18,FALSE),"")</f>
        <v>0</v>
      </c>
      <c r="M83" s="4" t="str">
        <f>IFERROR(VLOOKUP($K$74,Sheet4!$A$4:$S$65,19,FALSE),"")</f>
        <v/>
      </c>
      <c r="N83" s="217" t="str">
        <f>IFERROR(VLOOKUP($N$74,Sheet4!$A$4:$S$65,17,FALSE),"")</f>
        <v/>
      </c>
      <c r="O83" s="218">
        <f>IFERROR(VLOOKUP($N$74,Sheet4!$A$4:$S$65,18,FALSE),"")</f>
        <v>0</v>
      </c>
      <c r="P83" s="4" t="str">
        <f>IFERROR(VLOOKUP($N$74,Sheet4!$A$4:$S$65,19,FALSE),"")</f>
        <v/>
      </c>
      <c r="Q83" s="217" t="str">
        <f>IFERROR(VLOOKUP($Q$74,Sheet4!$A$4:$S$65,17,FALSE),"")</f>
        <v/>
      </c>
      <c r="R83" s="218">
        <f>IFERROR(VLOOKUP($Q$74,Sheet4!$A$4:$S$65,18,FALSE),"")</f>
        <v>0</v>
      </c>
      <c r="S83" s="4" t="str">
        <f>IFERROR(VLOOKUP($Q$74,Sheet4!$A$4:$S$65,19,FALSE),"")</f>
        <v/>
      </c>
      <c r="T83" s="217" t="str">
        <f>IFERROR(VLOOKUP($T$74,Sheet4!$A$4:$S$65,17,FALSE),"")</f>
        <v/>
      </c>
      <c r="U83" s="218">
        <f>IFERROR(VLOOKUP($T$74,Sheet4!$A$4:$S$65,18,FALSE),"")</f>
        <v>0</v>
      </c>
      <c r="V83" s="4" t="str">
        <f>IFERROR(VLOOKUP($T$74,Sheet4!$A$4:$S$65,19,FALSE),"")</f>
        <v/>
      </c>
    </row>
    <row r="84" spans="1:22" ht="15.95" customHeight="1" x14ac:dyDescent="0.25">
      <c r="A84" s="31" t="str">
        <f>IF(DevMode!B12="","Unused",DevMode!B12)</f>
        <v>DNCO (FC-481)</v>
      </c>
      <c r="B84" s="217" t="str">
        <f>IFERROR(VLOOKUP($B$74,Sheet5!$A$4:$M$63,2,FALSE),"")</f>
        <v/>
      </c>
      <c r="C84" s="218">
        <f>IFERROR(VLOOKUP($B$74,Sheet5!$A$4:$M$63,3,FALSE),"")</f>
        <v>0</v>
      </c>
      <c r="D84" s="4" t="str">
        <f>IFERROR(VLOOKUP($B$74,Sheet5!$A$4:$M$63,4,FALSE),"")</f>
        <v/>
      </c>
      <c r="E84" s="217" t="str">
        <f>IFERROR(VLOOKUP($E$74,Sheet5!$A$4:$M$63,2,FALSE),"")</f>
        <v/>
      </c>
      <c r="F84" s="218">
        <f>IFERROR(VLOOKUP($E$74,Sheet5!$A$4:$M$63,3,FALSE),"")</f>
        <v>0</v>
      </c>
      <c r="G84" s="4" t="str">
        <f>IFERROR(VLOOKUP($E$74,Sheet5!$A$4:$M$63,4,FALSE),"")</f>
        <v/>
      </c>
      <c r="H84" s="217" t="str">
        <f>IFERROR(VLOOKUP($H$74,Sheet5!$A$4:$M$63,2,FALSE),"")</f>
        <v/>
      </c>
      <c r="I84" s="218">
        <f>IFERROR(VLOOKUP($H$74,Sheet5!$A$4:$M$63,3,FALSE),"")</f>
        <v>0</v>
      </c>
      <c r="J84" s="4" t="str">
        <f>IFERROR(VLOOKUP($H$74,Sheet5!$A$4:$M$63,4,FALSE),"")</f>
        <v/>
      </c>
      <c r="K84" s="217" t="str">
        <f>IFERROR(VLOOKUP($K$74,Sheet5!$A$4:$M$63,2,FALSE),"")</f>
        <v/>
      </c>
      <c r="L84" s="218">
        <f>IFERROR(VLOOKUP($K$74,Sheet5!$A$4:$M$63,3,FALSE),"")</f>
        <v>0</v>
      </c>
      <c r="M84" s="4" t="str">
        <f>IFERROR(VLOOKUP($K$74,Sheet5!$A$4:$M$63,4,FALSE),"")</f>
        <v/>
      </c>
      <c r="N84" s="217" t="str">
        <f>IFERROR(VLOOKUP($N$74,Sheet5!$A$4:$M$63,2,FALSE),"")</f>
        <v/>
      </c>
      <c r="O84" s="218">
        <f>IFERROR(VLOOKUP($N$74,Sheet5!$A$4:$M$63,3,FALSE),"")</f>
        <v>0</v>
      </c>
      <c r="P84" s="4" t="str">
        <f>IFERROR(VLOOKUP($N$74,Sheet5!$A$4:$M$63,4,FALSE),"")</f>
        <v/>
      </c>
      <c r="Q84" s="217" t="str">
        <f>IFERROR(VLOOKUP($Q$74,Sheet5!$A$4:$M$63,2,FALSE),"")</f>
        <v/>
      </c>
      <c r="R84" s="218">
        <f>IFERROR(VLOOKUP($Q$74,Sheet5!$A$4:$M$63,3,FALSE),"")</f>
        <v>0</v>
      </c>
      <c r="S84" s="4" t="str">
        <f>IFERROR(VLOOKUP($Q$74,Sheet5!$A$4:$M$63,4,FALSE),"")</f>
        <v/>
      </c>
      <c r="T84" s="217" t="str">
        <f>IFERROR(VLOOKUP($T$74,Sheet5!$A$4:$M$63,2,FALSE),"")</f>
        <v/>
      </c>
      <c r="U84" s="218">
        <f>IFERROR(VLOOKUP($T$74,Sheet5!$A$4:$M$63,3,FALSE),"")</f>
        <v>0</v>
      </c>
      <c r="V84" s="4" t="str">
        <f>IFERROR(VLOOKUP($T$74,Sheet5!$A$4:$M$63,4,FALSE),"")</f>
        <v/>
      </c>
    </row>
    <row r="85" spans="1:22" ht="15.95" customHeight="1" x14ac:dyDescent="0.25">
      <c r="A85" s="31" t="str">
        <f>IF(DevMode!B13="","Unused",DevMode!B13)</f>
        <v>ADNCO (FC-481)</v>
      </c>
      <c r="B85" s="217" t="str">
        <f>IFERROR(VLOOKUP($B$74,Sheet5!$A$4:$M$63,5,FALSE),"")</f>
        <v/>
      </c>
      <c r="C85" s="218">
        <f>IFERROR(VLOOKUP($B$74,Sheet5!$A$4:$M$63,6,FALSE),"")</f>
        <v>0</v>
      </c>
      <c r="D85" s="4" t="str">
        <f>IFERROR(VLOOKUP($B$74,Sheet5!$A$4:$M$63,7,FALSE),"")</f>
        <v/>
      </c>
      <c r="E85" s="217" t="str">
        <f>IFERROR(VLOOKUP($E$74,Sheet5!$A$4:$M$63,5,FALSE),"")</f>
        <v/>
      </c>
      <c r="F85" s="218">
        <f>IFERROR(VLOOKUP($E$74,Sheet5!$A$4:$M$63,6,FALSE),"")</f>
        <v>0</v>
      </c>
      <c r="G85" s="4" t="str">
        <f>IFERROR(VLOOKUP($E$74,Sheet5!$A$4:$M$63,7,FALSE),"")</f>
        <v/>
      </c>
      <c r="H85" s="217" t="str">
        <f>IFERROR(VLOOKUP($H$74,Sheet5!$A$4:$M$63,5,FALSE),"")</f>
        <v/>
      </c>
      <c r="I85" s="218">
        <f>IFERROR(VLOOKUP($H$74,Sheet5!$A$4:$M$63,6,FALSE),"")</f>
        <v>0</v>
      </c>
      <c r="J85" s="4" t="str">
        <f>IFERROR(VLOOKUP($H$74,Sheet5!$A$4:$M$63,7,FALSE),"")</f>
        <v/>
      </c>
      <c r="K85" s="217" t="str">
        <f>IFERROR(VLOOKUP($K$74,Sheet5!$A$4:$M$63,5,FALSE),"")</f>
        <v/>
      </c>
      <c r="L85" s="218">
        <f>IFERROR(VLOOKUP($K$74,Sheet5!$A$4:$M$63,6,FALSE),"")</f>
        <v>0</v>
      </c>
      <c r="M85" s="4" t="str">
        <f>IFERROR(VLOOKUP($K$74,Sheet5!$A$4:$M$63,7,FALSE),"")</f>
        <v/>
      </c>
      <c r="N85" s="217" t="str">
        <f>IFERROR(VLOOKUP($N$74,Sheet5!$A$4:$M$63,5,FALSE),"")</f>
        <v/>
      </c>
      <c r="O85" s="218">
        <f>IFERROR(VLOOKUP($N$74,Sheet5!$A$4:$M$63,6,FALSE),"")</f>
        <v>0</v>
      </c>
      <c r="P85" s="4" t="str">
        <f>IFERROR(VLOOKUP($N$74,Sheet5!$A$4:$M$63,7,FALSE),"")</f>
        <v/>
      </c>
      <c r="Q85" s="217" t="str">
        <f>IFERROR(VLOOKUP($Q$74,Sheet5!$A$4:$M$63,5,FALSE),"")</f>
        <v/>
      </c>
      <c r="R85" s="218">
        <f>IFERROR(VLOOKUP($Q$74,Sheet5!$A$4:$M$63,6,FALSE),"")</f>
        <v>0</v>
      </c>
      <c r="S85" s="4" t="str">
        <f>IFERROR(VLOOKUP($Q$74,Sheet5!$A$4:$M$63,7,FALSE),"")</f>
        <v/>
      </c>
      <c r="T85" s="217" t="str">
        <f>IFERROR(VLOOKUP($T$74,Sheet5!$A$4:$M$63,5,FALSE),"")</f>
        <v/>
      </c>
      <c r="U85" s="218">
        <f>IFERROR(VLOOKUP($T$74,Sheet5!$A$4:$M$63,6,FALSE),"")</f>
        <v>0</v>
      </c>
      <c r="V85" s="4" t="str">
        <f>IFERROR(VLOOKUP($T$74,Sheet5!$A$4:$M$63,7,FALSE),"")</f>
        <v/>
      </c>
    </row>
    <row r="86" spans="1:22" ht="15.95" customHeight="1" x14ac:dyDescent="0.25">
      <c r="A86" s="31" t="str">
        <f>IF(DevMode!B14="","Unused",DevMode!B14)</f>
        <v>Rover 1 (FC-481)</v>
      </c>
      <c r="B86" s="217" t="str">
        <f>IFERROR(VLOOKUP($B$74,Sheet5!$A$4:$M$63,8,FALSE),"")</f>
        <v/>
      </c>
      <c r="C86" s="218">
        <f>IFERROR(VLOOKUP($B$74,Sheet5!$A$4:$M$63,9,FALSE),"")</f>
        <v>0</v>
      </c>
      <c r="D86" s="4" t="str">
        <f>IFERROR(VLOOKUP($B$74,Sheet5!$A$4:$M$63,10,FALSE),"")</f>
        <v/>
      </c>
      <c r="E86" s="217" t="str">
        <f>IFERROR(VLOOKUP($E$74,Sheet5!$A$4:$M$63,8,FALSE),"")</f>
        <v/>
      </c>
      <c r="F86" s="218">
        <f>IFERROR(VLOOKUP($E$74,Sheet5!$A$4:$M$63,9,FALSE),"")</f>
        <v>0</v>
      </c>
      <c r="G86" s="4" t="str">
        <f>IFERROR(VLOOKUP($E$74,Sheet5!$A$4:$M$63,10,FALSE),"")</f>
        <v/>
      </c>
      <c r="H86" s="217" t="str">
        <f>IFERROR(VLOOKUP($H$74,Sheet5!$A$4:$M$63,8,FALSE),"")</f>
        <v/>
      </c>
      <c r="I86" s="218">
        <f>IFERROR(VLOOKUP($H$74,Sheet5!$A$4:$M$63,9,FALSE),"")</f>
        <v>0</v>
      </c>
      <c r="J86" s="4" t="str">
        <f>IFERROR(VLOOKUP($H$74,Sheet5!$A$4:$M$63,10,FALSE),"")</f>
        <v/>
      </c>
      <c r="K86" s="217" t="str">
        <f>IFERROR(VLOOKUP($K$74,Sheet5!$A$4:$M$63,8,FALSE),"")</f>
        <v/>
      </c>
      <c r="L86" s="218">
        <f>IFERROR(VLOOKUP($K$74,Sheet5!$A$4:$M$63,9,FALSE),"")</f>
        <v>0</v>
      </c>
      <c r="M86" s="4" t="str">
        <f>IFERROR(VLOOKUP($K$74,Sheet5!$A$4:$M$63,10,FALSE),"")</f>
        <v/>
      </c>
      <c r="N86" s="217" t="str">
        <f>IFERROR(VLOOKUP($N$74,Sheet5!$A$4:$M$63,8,FALSE),"")</f>
        <v/>
      </c>
      <c r="O86" s="218">
        <f>IFERROR(VLOOKUP($N$74,Sheet5!$A$4:$M$63,9,FALSE),"")</f>
        <v>0</v>
      </c>
      <c r="P86" s="4" t="str">
        <f>IFERROR(VLOOKUP($N$74,Sheet5!$A$4:$M$63,10,FALSE),"")</f>
        <v/>
      </c>
      <c r="Q86" s="217" t="str">
        <f>IFERROR(VLOOKUP($Q$74,Sheet5!$A$4:$M$63,8,FALSE),"")</f>
        <v/>
      </c>
      <c r="R86" s="218">
        <f>IFERROR(VLOOKUP($Q$74,Sheet5!$A$4:$M$63,9,FALSE),"")</f>
        <v>0</v>
      </c>
      <c r="S86" s="4" t="str">
        <f>IFERROR(VLOOKUP($Q$74,Sheet5!$A$4:$M$63,10,FALSE),"")</f>
        <v/>
      </c>
      <c r="T86" s="217" t="str">
        <f>IFERROR(VLOOKUP($T$74,Sheet5!$A$4:$M$63,8,FALSE),"")</f>
        <v/>
      </c>
      <c r="U86" s="218">
        <f>IFERROR(VLOOKUP($T$74,Sheet5!$A$4:$M$63,9,FALSE),"")</f>
        <v>0</v>
      </c>
      <c r="V86" s="4" t="str">
        <f>IFERROR(VLOOKUP($T$74,Sheet5!$A$4:$M$63,10,FALSE),"")</f>
        <v/>
      </c>
    </row>
    <row r="87" spans="1:22" ht="15.95" customHeight="1" thickBot="1" x14ac:dyDescent="0.3">
      <c r="A87" s="31" t="str">
        <f>IF(DevMode!B15="","Unused",DevMode!B15)</f>
        <v>Rover 2 (FC-481)</v>
      </c>
      <c r="B87" s="219" t="str">
        <f>IFERROR(VLOOKUP($B$74,Sheet5!$A$4:$M$63,11,FALSE),"")</f>
        <v/>
      </c>
      <c r="C87" s="220">
        <f>IFERROR(VLOOKUP($B$74,Sheet5!$A$4:$M$63,12,FALSE),"")</f>
        <v>0</v>
      </c>
      <c r="D87" s="5" t="str">
        <f>IFERROR(VLOOKUP($B$74,Sheet5!$A$4:$M$63,13,FALSE),"")</f>
        <v/>
      </c>
      <c r="E87" s="219" t="str">
        <f>IFERROR(VLOOKUP($E$74,Sheet5!$A$4:$M$63,11,FALSE),"")</f>
        <v/>
      </c>
      <c r="F87" s="220">
        <f>IFERROR(VLOOKUP($E$74,Sheet5!$A$4:$M$63,12,FALSE),"")</f>
        <v>0</v>
      </c>
      <c r="G87" s="5" t="str">
        <f>IFERROR(VLOOKUP($E$74,Sheet5!$A$4:$M$63,13,FALSE),"")</f>
        <v/>
      </c>
      <c r="H87" s="219" t="str">
        <f>IFERROR(VLOOKUP($H$74,Sheet5!$A$4:$M$63,11,FALSE),"")</f>
        <v/>
      </c>
      <c r="I87" s="220">
        <f>IFERROR(VLOOKUP($H$74,Sheet5!$A$4:$M$63,12,FALSE),"")</f>
        <v>0</v>
      </c>
      <c r="J87" s="5" t="str">
        <f>IFERROR(VLOOKUP($H$74,Sheet5!$A$4:$M$63,13,FALSE),"")</f>
        <v/>
      </c>
      <c r="K87" s="219" t="str">
        <f>IFERROR(VLOOKUP($K$74,Sheet5!$A$4:$M$63,11,FALSE),"")</f>
        <v/>
      </c>
      <c r="L87" s="220">
        <f>IFERROR(VLOOKUP($K$74,Sheet5!$A$4:$M$63,12,FALSE),"")</f>
        <v>0</v>
      </c>
      <c r="M87" s="5" t="str">
        <f>IFERROR(VLOOKUP($K$74,Sheet5!$A$4:$M$63,13,FALSE),"")</f>
        <v/>
      </c>
      <c r="N87" s="219" t="str">
        <f>IFERROR(VLOOKUP($N$74,Sheet5!$A$4:$M$63,11,FALSE),"")</f>
        <v/>
      </c>
      <c r="O87" s="220">
        <f>IFERROR(VLOOKUP($N$74,Sheet5!$A$4:$M$63,12,FALSE),"")</f>
        <v>0</v>
      </c>
      <c r="P87" s="5" t="str">
        <f>IFERROR(VLOOKUP($N$74,Sheet5!$A$4:$M$63,13,FALSE),"")</f>
        <v/>
      </c>
      <c r="Q87" s="219" t="str">
        <f>IFERROR(VLOOKUP($Q$74,Sheet5!$A$4:$M$63,11,FALSE),"")</f>
        <v/>
      </c>
      <c r="R87" s="220">
        <f>IFERROR(VLOOKUP($Q$74,Sheet5!$A$4:$M$63,12,FALSE),"")</f>
        <v>0</v>
      </c>
      <c r="S87" s="5" t="str">
        <f>IFERROR(VLOOKUP($Q$74,Sheet5!$A$4:$M$63,13,FALSE),"")</f>
        <v/>
      </c>
      <c r="T87" s="219" t="str">
        <f>IFERROR(VLOOKUP($T$74,Sheet5!$A$4:$M$63,11,FALSE),"")</f>
        <v/>
      </c>
      <c r="U87" s="220">
        <f>IFERROR(VLOOKUP($T$74,Sheet5!$A$4:$M$63,12,FALSE),"")</f>
        <v>0</v>
      </c>
      <c r="V87" s="5" t="str">
        <f>IFERROR(VLOOKUP($T$74,Sheet5!$A$4:$M$63,13,FALSE),"")</f>
        <v/>
      </c>
    </row>
  </sheetData>
  <sheetProtection algorithmName="SHA-512" hashValue="rjz1vt4PCKUAqxTnPOiwZml4lMF2IWG/jv1IcCjPpscZ/9rfu1HntwmzUfdKNSy0arlaTYT8J6rjqSKQGW7OWA==" saltValue="XkiknnK5uRImsJRRfMQWuw==" spinCount="100000" sheet="1" objects="1" scenarios="1" selectLockedCells="1" sort="0" autoFilter="0"/>
  <mergeCells count="55">
    <mergeCell ref="U46:V46"/>
    <mergeCell ref="R46:S46"/>
    <mergeCell ref="F4:G4"/>
    <mergeCell ref="C4:D4"/>
    <mergeCell ref="C32:D32"/>
    <mergeCell ref="C18:D18"/>
    <mergeCell ref="F18:G18"/>
    <mergeCell ref="O32:P32"/>
    <mergeCell ref="L32:M32"/>
    <mergeCell ref="I32:J32"/>
    <mergeCell ref="F32:G32"/>
    <mergeCell ref="O60:P60"/>
    <mergeCell ref="O46:P46"/>
    <mergeCell ref="L46:M46"/>
    <mergeCell ref="L60:M60"/>
    <mergeCell ref="L74:M74"/>
    <mergeCell ref="O74:P74"/>
    <mergeCell ref="R74:S74"/>
    <mergeCell ref="U74:V74"/>
    <mergeCell ref="U60:V60"/>
    <mergeCell ref="R60:S60"/>
    <mergeCell ref="I4:J4"/>
    <mergeCell ref="R18:S18"/>
    <mergeCell ref="U18:V18"/>
    <mergeCell ref="U4:V4"/>
    <mergeCell ref="R4:S4"/>
    <mergeCell ref="O4:P4"/>
    <mergeCell ref="L4:M4"/>
    <mergeCell ref="I18:J18"/>
    <mergeCell ref="L18:M18"/>
    <mergeCell ref="O18:P18"/>
    <mergeCell ref="U32:V32"/>
    <mergeCell ref="R32:S32"/>
    <mergeCell ref="C74:D74"/>
    <mergeCell ref="F74:G74"/>
    <mergeCell ref="I74:J74"/>
    <mergeCell ref="I60:J60"/>
    <mergeCell ref="I46:J46"/>
    <mergeCell ref="F60:G60"/>
    <mergeCell ref="C60:D60"/>
    <mergeCell ref="C46:D46"/>
    <mergeCell ref="F46:G46"/>
    <mergeCell ref="B3:D3"/>
    <mergeCell ref="B2:C2"/>
    <mergeCell ref="D2:E2"/>
    <mergeCell ref="A1:V1"/>
    <mergeCell ref="T3:V3"/>
    <mergeCell ref="Q3:S3"/>
    <mergeCell ref="N3:P3"/>
    <mergeCell ref="K3:M3"/>
    <mergeCell ref="H3:J3"/>
    <mergeCell ref="E3:G3"/>
    <mergeCell ref="R2:V2"/>
    <mergeCell ref="L2:Q2"/>
    <mergeCell ref="F2:K2"/>
  </mergeCells>
  <conditionalFormatting sqref="B4 E4 H4 K4 N4 Q4 T4 B18 E18 H18 K18 N18 Q18 T18 B32 E32 H32 K32 N32 Q32 T32 B46 E46 H46 K46 N46 Q46 T46 B60 E60 H60 K60 N60 Q60 T60 B74 E74 H74 K74 N74 Q74 T74">
    <cfRule type="expression" dxfId="74" priority="5">
      <formula>MONTH(B4)&lt;&gt;MONTH(Start)</formula>
    </cfRule>
  </conditionalFormatting>
  <conditionalFormatting sqref="B5:V17 B19:V31 B33:V45 B47:V59 B61:V73 B75:V87">
    <cfRule type="containsText" dxfId="73" priority="4" operator="containsText" text="0">
      <formula>NOT(ISERROR(SEARCH("0",B5)))</formula>
    </cfRule>
  </conditionalFormatting>
  <conditionalFormatting sqref="C4 F4 I4 L4 O4 R4 U4 C18 F18 I18 L18 O18 R18 U18 C32 F32 I32 L32 O32 R32 U32 C46 F46 I46 L46 O46 R46 U46 C60 F60 I60 L60 O60 R60 U60 C74 F74 I74 L74 O74 R74 U74">
    <cfRule type="expression" dxfId="72" priority="1">
      <formula>MONTH(B4)&lt;&gt;MONTH(Start)</formula>
    </cfRule>
  </conditionalFormatting>
  <pageMargins left="0.7" right="0.7" top="0.75" bottom="0.75" header="0.3" footer="0.3"/>
  <pageSetup scale="36" orientation="landscape" r:id="rId1"/>
  <extLst>
    <ext xmlns:x14="http://schemas.microsoft.com/office/spreadsheetml/2009/9/main" uri="{78C0D931-6437-407d-A8EE-F0AAD7539E65}">
      <x14:conditionalFormattings>
        <x14:conditionalFormatting xmlns:xm="http://schemas.microsoft.com/office/excel/2006/main">
          <x14:cfRule type="expression" priority="3" id="{98E181A1-47C7-4210-8D97-AF643392E849}">
            <xm:f>OR(WEEKDAY(CELL("contents",OFFSET(INDIRECT(ADDRESS(ROW(),COLUMN())),0,-1)))=1,WEEKDAY(CELL("contents",OFFSET(INDIRECT(ADDRESS(ROW(),COLUMN())),0,-1)))=7,COUNTIFS(Summary!$K$44:$K$53,"&lt;"&amp;CELL("contents",OFFSET(INDIRECT(ADDRESS(ROW(),COLUMN())),0,-1)),Summary!$L$44:$L$53,"&gt;"&amp;CELL("contents",OFFSET(INDIRECT(ADDRESS(ROW(),COLUMN())),0,-1)))&gt;0)</xm:f>
            <x14:dxf>
              <fill>
                <patternFill>
                  <bgColor rgb="FFFFFF00"/>
                </patternFill>
              </fill>
            </x14:dxf>
          </x14:cfRule>
          <xm:sqref>C4 F4 I4 L4 O4 R4 U4 C18 F18 I18 L18 O18 R18 U18 C32 F32 I32 L32 O32 R32 U32 C46 F46 I46 L46 O46 R46 U46 C60 F60 I60 L60 O60 R60 U60 C74 F74 I74 L74 O74 R74 U74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J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s>
  <sheetData>
    <row r="1" spans="1:10" ht="18.75" customHeight="1" thickBot="1" x14ac:dyDescent="0.3">
      <c r="A1" s="355" t="str">
        <f>DevMode!B18</f>
        <v>8th Communication Battalion FC-300 Duty Roster</v>
      </c>
      <c r="B1" s="356"/>
      <c r="C1" s="356"/>
      <c r="D1" s="356"/>
      <c r="E1" s="356"/>
      <c r="F1" s="356"/>
      <c r="G1" s="356"/>
      <c r="H1" s="356"/>
      <c r="I1" s="356"/>
      <c r="J1" s="357"/>
    </row>
    <row r="2" spans="1:10" ht="12.75" customHeight="1" x14ac:dyDescent="0.25">
      <c r="A2" s="11" t="str">
        <f>TEXT(MASTER!B2&amp;" "&amp;MASTER!D2, "mmm-yy")</f>
        <v xml:space="preserve"> </v>
      </c>
      <c r="B2" s="358" t="str">
        <f>IF(DevMode!B19="","Unused",DevMode!B19)</f>
        <v>OOD</v>
      </c>
      <c r="C2" s="359"/>
      <c r="D2" s="360"/>
      <c r="E2" s="358" t="str">
        <f>IF(DevMode!B21="","Unused",DevMode!B21)</f>
        <v>AOOD</v>
      </c>
      <c r="F2" s="359"/>
      <c r="G2" s="361"/>
      <c r="H2" s="358" t="str">
        <f>IF(DevMode!B23="","Unused",DevMode!B23)</f>
        <v>Duty Driver</v>
      </c>
      <c r="I2" s="359"/>
      <c r="J2" s="361"/>
    </row>
    <row r="3" spans="1:10" ht="12.75" customHeight="1" thickBot="1" x14ac:dyDescent="0.3">
      <c r="A3" s="10" t="s">
        <v>10</v>
      </c>
      <c r="B3" s="18" t="s">
        <v>11</v>
      </c>
      <c r="C3" s="19" t="s">
        <v>14</v>
      </c>
      <c r="D3" s="20" t="s">
        <v>15</v>
      </c>
      <c r="E3" s="18" t="s">
        <v>11</v>
      </c>
      <c r="F3" s="19" t="s">
        <v>14</v>
      </c>
      <c r="G3" s="21" t="s">
        <v>15</v>
      </c>
      <c r="H3" s="18" t="s">
        <v>11</v>
      </c>
      <c r="I3" s="19" t="s">
        <v>14</v>
      </c>
      <c r="J3" s="21" t="s">
        <v>15</v>
      </c>
    </row>
    <row r="4" spans="1:10" ht="12.75" customHeight="1" x14ac:dyDescent="0.25">
      <c r="A4" s="362" t="str">
        <f>IFERROR(VALUE(MASTER!B2&amp;" "&amp;"1, "&amp;MASTER!D2),"")</f>
        <v/>
      </c>
      <c r="B4" s="30" t="s">
        <v>76</v>
      </c>
      <c r="C4" s="221"/>
      <c r="D4" s="363"/>
      <c r="E4" s="30" t="s">
        <v>76</v>
      </c>
      <c r="F4" s="221"/>
      <c r="G4" s="363" t="s">
        <v>76</v>
      </c>
      <c r="H4" s="30" t="s">
        <v>76</v>
      </c>
      <c r="I4" s="221"/>
      <c r="J4" s="363" t="s">
        <v>76</v>
      </c>
    </row>
    <row r="5" spans="1:10" ht="12.75" customHeight="1" x14ac:dyDescent="0.25">
      <c r="A5" s="353"/>
      <c r="B5" s="22" t="s">
        <v>12</v>
      </c>
      <c r="C5" s="26"/>
      <c r="D5" s="354"/>
      <c r="E5" s="22" t="s">
        <v>12</v>
      </c>
      <c r="F5" s="26"/>
      <c r="G5" s="354"/>
      <c r="H5" s="22" t="s">
        <v>12</v>
      </c>
      <c r="I5" s="26"/>
      <c r="J5" s="354"/>
    </row>
    <row r="6" spans="1:10" ht="12.75" customHeight="1" x14ac:dyDescent="0.25">
      <c r="A6" s="353" t="str">
        <f>IFERROR(IF(MONTH(A4+1)&lt;&gt;MONTH(A4), "", A4+1),"")</f>
        <v/>
      </c>
      <c r="B6" s="28" t="s">
        <v>76</v>
      </c>
      <c r="C6" s="222"/>
      <c r="D6" s="354"/>
      <c r="E6" s="28" t="s">
        <v>76</v>
      </c>
      <c r="F6" s="222"/>
      <c r="G6" s="354" t="s">
        <v>76</v>
      </c>
      <c r="H6" s="28" t="s">
        <v>76</v>
      </c>
      <c r="I6" s="222"/>
      <c r="J6" s="354" t="s">
        <v>76</v>
      </c>
    </row>
    <row r="7" spans="1:10" ht="12.75" customHeight="1" x14ac:dyDescent="0.25">
      <c r="A7" s="353"/>
      <c r="B7" s="22" t="s">
        <v>12</v>
      </c>
      <c r="C7" s="26"/>
      <c r="D7" s="354"/>
      <c r="E7" s="22" t="s">
        <v>12</v>
      </c>
      <c r="F7" s="26"/>
      <c r="G7" s="354"/>
      <c r="H7" s="22" t="s">
        <v>12</v>
      </c>
      <c r="I7" s="26"/>
      <c r="J7" s="354"/>
    </row>
    <row r="8" spans="1:10" ht="12.75" customHeight="1" x14ac:dyDescent="0.25">
      <c r="A8" s="353" t="str">
        <f>IFERROR(IF(MONTH(A6+1)&lt;&gt;MONTH(A6), "", A6+1),"")</f>
        <v/>
      </c>
      <c r="B8" s="28" t="s">
        <v>76</v>
      </c>
      <c r="C8" s="222"/>
      <c r="D8" s="354"/>
      <c r="E8" s="28" t="s">
        <v>76</v>
      </c>
      <c r="F8" s="222"/>
      <c r="G8" s="354" t="s">
        <v>76</v>
      </c>
      <c r="H8" s="28" t="s">
        <v>76</v>
      </c>
      <c r="I8" s="222"/>
      <c r="J8" s="354" t="s">
        <v>76</v>
      </c>
    </row>
    <row r="9" spans="1:10" ht="12.75" customHeight="1" x14ac:dyDescent="0.25">
      <c r="A9" s="353"/>
      <c r="B9" s="22" t="s">
        <v>12</v>
      </c>
      <c r="C9" s="26"/>
      <c r="D9" s="354"/>
      <c r="E9" s="22" t="s">
        <v>12</v>
      </c>
      <c r="F9" s="26"/>
      <c r="G9" s="354"/>
      <c r="H9" s="22" t="s">
        <v>12</v>
      </c>
      <c r="I9" s="26"/>
      <c r="J9" s="354"/>
    </row>
    <row r="10" spans="1:10" ht="12.75" customHeight="1" x14ac:dyDescent="0.25">
      <c r="A10" s="353" t="str">
        <f>IFERROR(IF(MONTH(A8+1)&lt;&gt;MONTH(A8), "", A8+1),"")</f>
        <v/>
      </c>
      <c r="B10" s="28" t="s">
        <v>76</v>
      </c>
      <c r="C10" s="222"/>
      <c r="D10" s="354"/>
      <c r="E10" s="28" t="s">
        <v>76</v>
      </c>
      <c r="F10" s="222"/>
      <c r="G10" s="354" t="s">
        <v>76</v>
      </c>
      <c r="H10" s="28" t="s">
        <v>76</v>
      </c>
      <c r="I10" s="222"/>
      <c r="J10" s="354" t="s">
        <v>76</v>
      </c>
    </row>
    <row r="11" spans="1:10" ht="12.75" customHeight="1" x14ac:dyDescent="0.25">
      <c r="A11" s="353"/>
      <c r="B11" s="22" t="s">
        <v>12</v>
      </c>
      <c r="C11" s="26"/>
      <c r="D11" s="354"/>
      <c r="E11" s="22" t="s">
        <v>12</v>
      </c>
      <c r="F11" s="26"/>
      <c r="G11" s="354"/>
      <c r="H11" s="22" t="s">
        <v>12</v>
      </c>
      <c r="I11" s="26"/>
      <c r="J11" s="354"/>
    </row>
    <row r="12" spans="1:10" ht="12.75" customHeight="1" x14ac:dyDescent="0.25">
      <c r="A12" s="353" t="str">
        <f>IFERROR(IF(MONTH(A10+1)&lt;&gt;MONTH(A10), "", A10+1),"")</f>
        <v/>
      </c>
      <c r="B12" s="28" t="s">
        <v>76</v>
      </c>
      <c r="C12" s="222"/>
      <c r="D12" s="354"/>
      <c r="E12" s="28" t="s">
        <v>76</v>
      </c>
      <c r="F12" s="222"/>
      <c r="G12" s="354" t="s">
        <v>76</v>
      </c>
      <c r="H12" s="28" t="s">
        <v>76</v>
      </c>
      <c r="I12" s="222"/>
      <c r="J12" s="354" t="s">
        <v>76</v>
      </c>
    </row>
    <row r="13" spans="1:10" ht="12.75" customHeight="1" x14ac:dyDescent="0.25">
      <c r="A13" s="353"/>
      <c r="B13" s="22" t="s">
        <v>12</v>
      </c>
      <c r="C13" s="26"/>
      <c r="D13" s="354"/>
      <c r="E13" s="22" t="s">
        <v>12</v>
      </c>
      <c r="F13" s="26"/>
      <c r="G13" s="354"/>
      <c r="H13" s="22" t="s">
        <v>12</v>
      </c>
      <c r="I13" s="26"/>
      <c r="J13" s="354"/>
    </row>
    <row r="14" spans="1:10" ht="12.75" customHeight="1" x14ac:dyDescent="0.25">
      <c r="A14" s="353" t="str">
        <f>IFERROR(IF(MONTH(A12+1)&lt;&gt;MONTH(A12), "", A12+1),"")</f>
        <v/>
      </c>
      <c r="B14" s="28" t="s">
        <v>76</v>
      </c>
      <c r="C14" s="222"/>
      <c r="D14" s="354"/>
      <c r="E14" s="28" t="s">
        <v>76</v>
      </c>
      <c r="F14" s="222"/>
      <c r="G14" s="354" t="s">
        <v>76</v>
      </c>
      <c r="H14" s="28" t="s">
        <v>76</v>
      </c>
      <c r="I14" s="222"/>
      <c r="J14" s="354" t="s">
        <v>76</v>
      </c>
    </row>
    <row r="15" spans="1:10" ht="12.75" customHeight="1" x14ac:dyDescent="0.25">
      <c r="A15" s="353"/>
      <c r="B15" s="22" t="s">
        <v>12</v>
      </c>
      <c r="C15" s="26"/>
      <c r="D15" s="354"/>
      <c r="E15" s="22" t="s">
        <v>12</v>
      </c>
      <c r="F15" s="26"/>
      <c r="G15" s="354"/>
      <c r="H15" s="22" t="s">
        <v>12</v>
      </c>
      <c r="I15" s="26"/>
      <c r="J15" s="354"/>
    </row>
    <row r="16" spans="1:10" ht="12.75" customHeight="1" x14ac:dyDescent="0.25">
      <c r="A16" s="353" t="str">
        <f>IFERROR(IF(MONTH(A14+1)&lt;&gt;MONTH(A14), "", A14+1),"")</f>
        <v/>
      </c>
      <c r="B16" s="28" t="s">
        <v>76</v>
      </c>
      <c r="C16" s="222"/>
      <c r="D16" s="354" t="s">
        <v>76</v>
      </c>
      <c r="E16" s="28" t="s">
        <v>76</v>
      </c>
      <c r="F16" s="222"/>
      <c r="G16" s="354" t="s">
        <v>76</v>
      </c>
      <c r="H16" s="28" t="s">
        <v>76</v>
      </c>
      <c r="I16" s="222"/>
      <c r="J16" s="354" t="s">
        <v>76</v>
      </c>
    </row>
    <row r="17" spans="1:10" ht="12.75" customHeight="1" x14ac:dyDescent="0.25">
      <c r="A17" s="353"/>
      <c r="B17" s="22" t="s">
        <v>12</v>
      </c>
      <c r="C17" s="26"/>
      <c r="D17" s="354"/>
      <c r="E17" s="22" t="s">
        <v>12</v>
      </c>
      <c r="F17" s="26"/>
      <c r="G17" s="354"/>
      <c r="H17" s="22" t="s">
        <v>12</v>
      </c>
      <c r="I17" s="26"/>
      <c r="J17" s="354"/>
    </row>
    <row r="18" spans="1:10" ht="12.75" customHeight="1" x14ac:dyDescent="0.25">
      <c r="A18" s="353" t="str">
        <f>IFERROR(IF(MONTH(A16+1)&lt;&gt;MONTH(A16), "", A16+1),"")</f>
        <v/>
      </c>
      <c r="B18" s="28" t="s">
        <v>76</v>
      </c>
      <c r="C18" s="222"/>
      <c r="D18" s="354" t="s">
        <v>76</v>
      </c>
      <c r="E18" s="28" t="s">
        <v>76</v>
      </c>
      <c r="F18" s="222"/>
      <c r="G18" s="354" t="s">
        <v>76</v>
      </c>
      <c r="H18" s="28" t="s">
        <v>76</v>
      </c>
      <c r="I18" s="222"/>
      <c r="J18" s="354" t="s">
        <v>76</v>
      </c>
    </row>
    <row r="19" spans="1:10" ht="12.75" customHeight="1" x14ac:dyDescent="0.25">
      <c r="A19" s="353"/>
      <c r="B19" s="22" t="s">
        <v>12</v>
      </c>
      <c r="C19" s="26"/>
      <c r="D19" s="354"/>
      <c r="E19" s="22" t="s">
        <v>12</v>
      </c>
      <c r="F19" s="26"/>
      <c r="G19" s="354"/>
      <c r="H19" s="22" t="s">
        <v>12</v>
      </c>
      <c r="I19" s="26"/>
      <c r="J19" s="354"/>
    </row>
    <row r="20" spans="1:10" ht="12.75" customHeight="1" x14ac:dyDescent="0.25">
      <c r="A20" s="353" t="str">
        <f>IFERROR(IF(MONTH(A18+1)&lt;&gt;MONTH(A18), "", A18+1),"")</f>
        <v/>
      </c>
      <c r="B20" s="28" t="s">
        <v>76</v>
      </c>
      <c r="C20" s="222"/>
      <c r="D20" s="354" t="s">
        <v>76</v>
      </c>
      <c r="E20" s="28" t="s">
        <v>76</v>
      </c>
      <c r="F20" s="222"/>
      <c r="G20" s="354" t="s">
        <v>76</v>
      </c>
      <c r="H20" s="28" t="s">
        <v>76</v>
      </c>
      <c r="I20" s="222"/>
      <c r="J20" s="354" t="s">
        <v>76</v>
      </c>
    </row>
    <row r="21" spans="1:10" ht="12.75" customHeight="1" x14ac:dyDescent="0.25">
      <c r="A21" s="353"/>
      <c r="B21" s="22" t="s">
        <v>12</v>
      </c>
      <c r="C21" s="26"/>
      <c r="D21" s="354"/>
      <c r="E21" s="22" t="s">
        <v>12</v>
      </c>
      <c r="F21" s="26"/>
      <c r="G21" s="354"/>
      <c r="H21" s="22" t="s">
        <v>12</v>
      </c>
      <c r="I21" s="26"/>
      <c r="J21" s="354"/>
    </row>
    <row r="22" spans="1:10" ht="12.75" customHeight="1" x14ac:dyDescent="0.25">
      <c r="A22" s="353" t="str">
        <f>IFERROR(IF(MONTH(A20+1)&lt;&gt;MONTH(A20), "", A20+1),"")</f>
        <v/>
      </c>
      <c r="B22" s="28" t="s">
        <v>76</v>
      </c>
      <c r="C22" s="222"/>
      <c r="D22" s="354" t="s">
        <v>76</v>
      </c>
      <c r="E22" s="28" t="s">
        <v>76</v>
      </c>
      <c r="F22" s="222"/>
      <c r="G22" s="354" t="s">
        <v>76</v>
      </c>
      <c r="H22" s="28" t="s">
        <v>76</v>
      </c>
      <c r="I22" s="222"/>
      <c r="J22" s="354" t="s">
        <v>76</v>
      </c>
    </row>
    <row r="23" spans="1:10" ht="12.75" customHeight="1" x14ac:dyDescent="0.25">
      <c r="A23" s="353"/>
      <c r="B23" s="22" t="s">
        <v>12</v>
      </c>
      <c r="C23" s="26"/>
      <c r="D23" s="354"/>
      <c r="E23" s="22" t="s">
        <v>12</v>
      </c>
      <c r="F23" s="26"/>
      <c r="G23" s="354"/>
      <c r="H23" s="22" t="s">
        <v>12</v>
      </c>
      <c r="I23" s="26"/>
      <c r="J23" s="354"/>
    </row>
    <row r="24" spans="1:10" ht="12.75" customHeight="1" x14ac:dyDescent="0.25">
      <c r="A24" s="353" t="str">
        <f>IFERROR(IF(MONTH(A22+1)&lt;&gt;MONTH(A22), "", A22+1),"")</f>
        <v/>
      </c>
      <c r="B24" s="28" t="s">
        <v>76</v>
      </c>
      <c r="C24" s="222"/>
      <c r="D24" s="354" t="s">
        <v>76</v>
      </c>
      <c r="E24" s="28" t="s">
        <v>76</v>
      </c>
      <c r="F24" s="222"/>
      <c r="G24" s="354" t="s">
        <v>76</v>
      </c>
      <c r="H24" s="28" t="s">
        <v>76</v>
      </c>
      <c r="I24" s="222"/>
      <c r="J24" s="354" t="s">
        <v>76</v>
      </c>
    </row>
    <row r="25" spans="1:10" ht="12.75" customHeight="1" x14ac:dyDescent="0.25">
      <c r="A25" s="353"/>
      <c r="B25" s="22" t="s">
        <v>12</v>
      </c>
      <c r="C25" s="26"/>
      <c r="D25" s="354"/>
      <c r="E25" s="22" t="s">
        <v>12</v>
      </c>
      <c r="F25" s="26"/>
      <c r="G25" s="354"/>
      <c r="H25" s="22" t="s">
        <v>12</v>
      </c>
      <c r="I25" s="26"/>
      <c r="J25" s="354"/>
    </row>
    <row r="26" spans="1:10" ht="12.75" customHeight="1" x14ac:dyDescent="0.25">
      <c r="A26" s="353" t="str">
        <f>IFERROR(IF(MONTH(A24+1)&lt;&gt;MONTH(A24), "", A24+1),"")</f>
        <v/>
      </c>
      <c r="B26" s="28" t="s">
        <v>76</v>
      </c>
      <c r="C26" s="222"/>
      <c r="D26" s="354" t="s">
        <v>76</v>
      </c>
      <c r="E26" s="28" t="s">
        <v>76</v>
      </c>
      <c r="F26" s="222"/>
      <c r="G26" s="354" t="s">
        <v>76</v>
      </c>
      <c r="H26" s="28" t="s">
        <v>76</v>
      </c>
      <c r="I26" s="222"/>
      <c r="J26" s="354" t="s">
        <v>76</v>
      </c>
    </row>
    <row r="27" spans="1:10" ht="12.75" customHeight="1" x14ac:dyDescent="0.25">
      <c r="A27" s="353"/>
      <c r="B27" s="22" t="s">
        <v>12</v>
      </c>
      <c r="C27" s="26"/>
      <c r="D27" s="354"/>
      <c r="E27" s="22" t="s">
        <v>12</v>
      </c>
      <c r="F27" s="26"/>
      <c r="G27" s="354"/>
      <c r="H27" s="22" t="s">
        <v>12</v>
      </c>
      <c r="I27" s="26"/>
      <c r="J27" s="354"/>
    </row>
    <row r="28" spans="1:10" ht="12.75" customHeight="1" x14ac:dyDescent="0.25">
      <c r="A28" s="353" t="str">
        <f>IFERROR(IF(MONTH(A26+1)&lt;&gt;MONTH(A26), "", A26+1),"")</f>
        <v/>
      </c>
      <c r="B28" s="28" t="s">
        <v>76</v>
      </c>
      <c r="C28" s="222"/>
      <c r="D28" s="354" t="s">
        <v>76</v>
      </c>
      <c r="E28" s="28" t="s">
        <v>76</v>
      </c>
      <c r="F28" s="222"/>
      <c r="G28" s="354" t="s">
        <v>76</v>
      </c>
      <c r="H28" s="28" t="s">
        <v>76</v>
      </c>
      <c r="I28" s="222"/>
      <c r="J28" s="354" t="s">
        <v>76</v>
      </c>
    </row>
    <row r="29" spans="1:10" ht="12.75" customHeight="1" x14ac:dyDescent="0.25">
      <c r="A29" s="353"/>
      <c r="B29" s="22" t="s">
        <v>12</v>
      </c>
      <c r="C29" s="26"/>
      <c r="D29" s="354"/>
      <c r="E29" s="22" t="s">
        <v>12</v>
      </c>
      <c r="F29" s="26"/>
      <c r="G29" s="354"/>
      <c r="H29" s="22" t="s">
        <v>12</v>
      </c>
      <c r="I29" s="26"/>
      <c r="J29" s="354"/>
    </row>
    <row r="30" spans="1:10" ht="12.75" customHeight="1" x14ac:dyDescent="0.25">
      <c r="A30" s="353" t="str">
        <f>IFERROR(IF(MONTH(A28+1)&lt;&gt;MONTH(A28), "", A28+1),"")</f>
        <v/>
      </c>
      <c r="B30" s="28" t="s">
        <v>76</v>
      </c>
      <c r="C30" s="222"/>
      <c r="D30" s="354" t="s">
        <v>76</v>
      </c>
      <c r="E30" s="28" t="s">
        <v>76</v>
      </c>
      <c r="F30" s="222"/>
      <c r="G30" s="354" t="s">
        <v>76</v>
      </c>
      <c r="H30" s="28" t="s">
        <v>76</v>
      </c>
      <c r="I30" s="222"/>
      <c r="J30" s="354" t="s">
        <v>76</v>
      </c>
    </row>
    <row r="31" spans="1:10" ht="12.75" customHeight="1" x14ac:dyDescent="0.25">
      <c r="A31" s="353"/>
      <c r="B31" s="22" t="s">
        <v>12</v>
      </c>
      <c r="C31" s="26"/>
      <c r="D31" s="354"/>
      <c r="E31" s="22" t="s">
        <v>12</v>
      </c>
      <c r="F31" s="26"/>
      <c r="G31" s="354"/>
      <c r="H31" s="22" t="s">
        <v>12</v>
      </c>
      <c r="I31" s="26"/>
      <c r="J31" s="354"/>
    </row>
    <row r="32" spans="1:10" ht="12.75" customHeight="1" x14ac:dyDescent="0.25">
      <c r="A32" s="353" t="str">
        <f>IFERROR(IF(MONTH(A30+1)&lt;&gt;MONTH(A30), "", A30+1),"")</f>
        <v/>
      </c>
      <c r="B32" s="28" t="s">
        <v>76</v>
      </c>
      <c r="C32" s="222"/>
      <c r="D32" s="354" t="s">
        <v>76</v>
      </c>
      <c r="E32" s="28" t="s">
        <v>76</v>
      </c>
      <c r="F32" s="222"/>
      <c r="G32" s="354" t="s">
        <v>76</v>
      </c>
      <c r="H32" s="28" t="s">
        <v>76</v>
      </c>
      <c r="I32" s="222"/>
      <c r="J32" s="354" t="s">
        <v>76</v>
      </c>
    </row>
    <row r="33" spans="1:10" ht="12.75" customHeight="1" x14ac:dyDescent="0.25">
      <c r="A33" s="353"/>
      <c r="B33" s="22" t="s">
        <v>12</v>
      </c>
      <c r="C33" s="26"/>
      <c r="D33" s="354"/>
      <c r="E33" s="22" t="s">
        <v>12</v>
      </c>
      <c r="F33" s="26"/>
      <c r="G33" s="354"/>
      <c r="H33" s="22" t="s">
        <v>12</v>
      </c>
      <c r="I33" s="26"/>
      <c r="J33" s="354"/>
    </row>
    <row r="34" spans="1:10" ht="12.75" customHeight="1" x14ac:dyDescent="0.25">
      <c r="A34" s="353" t="str">
        <f>IFERROR(IF(MONTH(A32+1)&lt;&gt;MONTH(A32), "", A32+1),"")</f>
        <v/>
      </c>
      <c r="B34" s="28" t="s">
        <v>76</v>
      </c>
      <c r="C34" s="222"/>
      <c r="D34" s="354" t="s">
        <v>76</v>
      </c>
      <c r="E34" s="28" t="s">
        <v>76</v>
      </c>
      <c r="F34" s="222"/>
      <c r="G34" s="354" t="s">
        <v>76</v>
      </c>
      <c r="H34" s="28" t="s">
        <v>76</v>
      </c>
      <c r="I34" s="222"/>
      <c r="J34" s="354" t="s">
        <v>76</v>
      </c>
    </row>
    <row r="35" spans="1:10" ht="12.75" customHeight="1" x14ac:dyDescent="0.25">
      <c r="A35" s="353"/>
      <c r="B35" s="22" t="s">
        <v>12</v>
      </c>
      <c r="C35" s="26"/>
      <c r="D35" s="354"/>
      <c r="E35" s="22" t="s">
        <v>12</v>
      </c>
      <c r="F35" s="26"/>
      <c r="G35" s="354"/>
      <c r="H35" s="22" t="s">
        <v>12</v>
      </c>
      <c r="I35" s="26"/>
      <c r="J35" s="354"/>
    </row>
    <row r="36" spans="1:10" ht="12.75" customHeight="1" x14ac:dyDescent="0.25">
      <c r="A36" s="353" t="str">
        <f>IFERROR(IF(MONTH(A34+1)&lt;&gt;MONTH(A34), "", A34+1),"")</f>
        <v/>
      </c>
      <c r="B36" s="28" t="s">
        <v>76</v>
      </c>
      <c r="C36" s="222"/>
      <c r="D36" s="354" t="s">
        <v>76</v>
      </c>
      <c r="E36" s="28" t="s">
        <v>76</v>
      </c>
      <c r="F36" s="222"/>
      <c r="G36" s="354" t="s">
        <v>76</v>
      </c>
      <c r="H36" s="28" t="s">
        <v>76</v>
      </c>
      <c r="I36" s="222"/>
      <c r="J36" s="354" t="s">
        <v>76</v>
      </c>
    </row>
    <row r="37" spans="1:10" ht="12.75" customHeight="1" x14ac:dyDescent="0.25">
      <c r="A37" s="353"/>
      <c r="B37" s="22" t="s">
        <v>12</v>
      </c>
      <c r="C37" s="26"/>
      <c r="D37" s="354"/>
      <c r="E37" s="22" t="s">
        <v>12</v>
      </c>
      <c r="F37" s="26"/>
      <c r="G37" s="354"/>
      <c r="H37" s="22" t="s">
        <v>12</v>
      </c>
      <c r="I37" s="26"/>
      <c r="J37" s="354"/>
    </row>
    <row r="38" spans="1:10" ht="12.75" customHeight="1" x14ac:dyDescent="0.25">
      <c r="A38" s="353" t="str">
        <f>IFERROR(IF(MONTH(A36+1)&lt;&gt;MONTH(A36), "", A36+1),"")</f>
        <v/>
      </c>
      <c r="B38" s="28" t="s">
        <v>76</v>
      </c>
      <c r="C38" s="222"/>
      <c r="D38" s="354" t="s">
        <v>76</v>
      </c>
      <c r="E38" s="28" t="s">
        <v>76</v>
      </c>
      <c r="F38" s="222"/>
      <c r="G38" s="354" t="s">
        <v>76</v>
      </c>
      <c r="H38" s="28" t="s">
        <v>76</v>
      </c>
      <c r="I38" s="222"/>
      <c r="J38" s="354" t="s">
        <v>76</v>
      </c>
    </row>
    <row r="39" spans="1:10" ht="12.75" customHeight="1" x14ac:dyDescent="0.25">
      <c r="A39" s="353"/>
      <c r="B39" s="22" t="s">
        <v>12</v>
      </c>
      <c r="C39" s="26"/>
      <c r="D39" s="354"/>
      <c r="E39" s="22" t="s">
        <v>12</v>
      </c>
      <c r="F39" s="26"/>
      <c r="G39" s="354"/>
      <c r="H39" s="22" t="s">
        <v>12</v>
      </c>
      <c r="I39" s="26"/>
      <c r="J39" s="354"/>
    </row>
    <row r="40" spans="1:10" ht="12.75" customHeight="1" x14ac:dyDescent="0.25">
      <c r="A40" s="353" t="str">
        <f>IFERROR(IF(MONTH(A38+1)&lt;&gt;MONTH(A38), "", A38+1),"")</f>
        <v/>
      </c>
      <c r="B40" s="28" t="s">
        <v>76</v>
      </c>
      <c r="C40" s="222"/>
      <c r="D40" s="354" t="s">
        <v>76</v>
      </c>
      <c r="E40" s="28" t="s">
        <v>76</v>
      </c>
      <c r="F40" s="222"/>
      <c r="G40" s="354" t="s">
        <v>76</v>
      </c>
      <c r="H40" s="28" t="s">
        <v>76</v>
      </c>
      <c r="I40" s="222"/>
      <c r="J40" s="354" t="s">
        <v>76</v>
      </c>
    </row>
    <row r="41" spans="1:10" ht="12.75" customHeight="1" x14ac:dyDescent="0.25">
      <c r="A41" s="353"/>
      <c r="B41" s="22" t="s">
        <v>12</v>
      </c>
      <c r="C41" s="26"/>
      <c r="D41" s="354"/>
      <c r="E41" s="22" t="s">
        <v>12</v>
      </c>
      <c r="F41" s="26"/>
      <c r="G41" s="354"/>
      <c r="H41" s="22" t="s">
        <v>12</v>
      </c>
      <c r="I41" s="26"/>
      <c r="J41" s="354"/>
    </row>
    <row r="42" spans="1:10" ht="12.75" customHeight="1" x14ac:dyDescent="0.25">
      <c r="A42" s="353" t="str">
        <f>IFERROR(IF(MONTH(A40+1)&lt;&gt;MONTH(A40), "", A40+1),"")</f>
        <v/>
      </c>
      <c r="B42" s="28" t="s">
        <v>76</v>
      </c>
      <c r="C42" s="222"/>
      <c r="D42" s="354" t="s">
        <v>76</v>
      </c>
      <c r="E42" s="28" t="s">
        <v>76</v>
      </c>
      <c r="F42" s="222"/>
      <c r="G42" s="354" t="s">
        <v>76</v>
      </c>
      <c r="H42" s="28" t="s">
        <v>76</v>
      </c>
      <c r="I42" s="222"/>
      <c r="J42" s="354" t="s">
        <v>76</v>
      </c>
    </row>
    <row r="43" spans="1:10" ht="12.75" customHeight="1" x14ac:dyDescent="0.25">
      <c r="A43" s="353"/>
      <c r="B43" s="22" t="s">
        <v>12</v>
      </c>
      <c r="C43" s="26"/>
      <c r="D43" s="354"/>
      <c r="E43" s="22" t="s">
        <v>12</v>
      </c>
      <c r="F43" s="26"/>
      <c r="G43" s="354"/>
      <c r="H43" s="22" t="s">
        <v>12</v>
      </c>
      <c r="I43" s="26"/>
      <c r="J43" s="354"/>
    </row>
    <row r="44" spans="1:10" ht="12.75" customHeight="1" x14ac:dyDescent="0.25">
      <c r="A44" s="353" t="str">
        <f>IFERROR(IF(MONTH(A42+1)&lt;&gt;MONTH(A42), "", A42+1),"")</f>
        <v/>
      </c>
      <c r="B44" s="28"/>
      <c r="C44" s="222"/>
      <c r="D44" s="354" t="s">
        <v>76</v>
      </c>
      <c r="E44" s="28"/>
      <c r="F44" s="222"/>
      <c r="G44" s="354" t="s">
        <v>76</v>
      </c>
      <c r="H44" s="28"/>
      <c r="I44" s="222"/>
      <c r="J44" s="354" t="s">
        <v>76</v>
      </c>
    </row>
    <row r="45" spans="1:10" ht="12.75" customHeight="1" x14ac:dyDescent="0.25">
      <c r="A45" s="353"/>
      <c r="B45" s="22" t="s">
        <v>12</v>
      </c>
      <c r="C45" s="26"/>
      <c r="D45" s="354"/>
      <c r="E45" s="22" t="s">
        <v>12</v>
      </c>
      <c r="F45" s="26"/>
      <c r="G45" s="354"/>
      <c r="H45" s="22" t="s">
        <v>12</v>
      </c>
      <c r="I45" s="26"/>
      <c r="J45" s="354"/>
    </row>
    <row r="46" spans="1:10" ht="12.75" customHeight="1" x14ac:dyDescent="0.25">
      <c r="A46" s="353" t="str">
        <f>IFERROR(IF(MONTH(A44+1)&lt;&gt;MONTH(A44), "", A44+1),"")</f>
        <v/>
      </c>
      <c r="B46" s="28" t="s">
        <v>76</v>
      </c>
      <c r="C46" s="222"/>
      <c r="D46" s="354" t="s">
        <v>76</v>
      </c>
      <c r="E46" s="28" t="s">
        <v>76</v>
      </c>
      <c r="F46" s="222"/>
      <c r="G46" s="354" t="s">
        <v>76</v>
      </c>
      <c r="H46" s="28" t="s">
        <v>76</v>
      </c>
      <c r="I46" s="222"/>
      <c r="J46" s="354" t="s">
        <v>76</v>
      </c>
    </row>
    <row r="47" spans="1:10" ht="12.75" customHeight="1" x14ac:dyDescent="0.25">
      <c r="A47" s="353"/>
      <c r="B47" s="22" t="s">
        <v>12</v>
      </c>
      <c r="C47" s="26"/>
      <c r="D47" s="354"/>
      <c r="E47" s="22" t="s">
        <v>12</v>
      </c>
      <c r="F47" s="26"/>
      <c r="G47" s="354"/>
      <c r="H47" s="22" t="s">
        <v>12</v>
      </c>
      <c r="I47" s="26"/>
      <c r="J47" s="354"/>
    </row>
    <row r="48" spans="1:10" ht="12.75" customHeight="1" x14ac:dyDescent="0.25">
      <c r="A48" s="353" t="str">
        <f>IFERROR(IF(MONTH(A46+1)&lt;&gt;MONTH(A46), "", A46+1),"")</f>
        <v/>
      </c>
      <c r="B48" s="28" t="s">
        <v>76</v>
      </c>
      <c r="C48" s="222"/>
      <c r="D48" s="354" t="s">
        <v>76</v>
      </c>
      <c r="E48" s="28" t="s">
        <v>76</v>
      </c>
      <c r="F48" s="222"/>
      <c r="G48" s="354" t="s">
        <v>76</v>
      </c>
      <c r="H48" s="28" t="s">
        <v>76</v>
      </c>
      <c r="I48" s="222"/>
      <c r="J48" s="354" t="s">
        <v>76</v>
      </c>
    </row>
    <row r="49" spans="1:10" ht="12.75" customHeight="1" x14ac:dyDescent="0.25">
      <c r="A49" s="353"/>
      <c r="B49" s="22" t="s">
        <v>12</v>
      </c>
      <c r="C49" s="26"/>
      <c r="D49" s="354"/>
      <c r="E49" s="22" t="s">
        <v>12</v>
      </c>
      <c r="F49" s="26"/>
      <c r="G49" s="354"/>
      <c r="H49" s="22" t="s">
        <v>12</v>
      </c>
      <c r="I49" s="26"/>
      <c r="J49" s="354"/>
    </row>
    <row r="50" spans="1:10" ht="12.75" customHeight="1" x14ac:dyDescent="0.25">
      <c r="A50" s="353" t="str">
        <f>IFERROR(IF(MONTH(A48+1)&lt;&gt;MONTH(A48), "", A48+1),"")</f>
        <v/>
      </c>
      <c r="B50" s="28" t="s">
        <v>76</v>
      </c>
      <c r="C50" s="222"/>
      <c r="D50" s="354" t="s">
        <v>76</v>
      </c>
      <c r="E50" s="28" t="s">
        <v>76</v>
      </c>
      <c r="F50" s="222"/>
      <c r="G50" s="354" t="s">
        <v>76</v>
      </c>
      <c r="H50" s="28" t="s">
        <v>76</v>
      </c>
      <c r="I50" s="222"/>
      <c r="J50" s="354" t="s">
        <v>76</v>
      </c>
    </row>
    <row r="51" spans="1:10" ht="12.75" customHeight="1" x14ac:dyDescent="0.25">
      <c r="A51" s="353"/>
      <c r="B51" s="22" t="s">
        <v>12</v>
      </c>
      <c r="C51" s="26"/>
      <c r="D51" s="354"/>
      <c r="E51" s="22" t="s">
        <v>12</v>
      </c>
      <c r="F51" s="26"/>
      <c r="G51" s="354"/>
      <c r="H51" s="22" t="s">
        <v>12</v>
      </c>
      <c r="I51" s="26"/>
      <c r="J51" s="354"/>
    </row>
    <row r="52" spans="1:10" ht="12.75" customHeight="1" x14ac:dyDescent="0.25">
      <c r="A52" s="353" t="str">
        <f>IFERROR(IF(MONTH(A50+1)&lt;&gt;MONTH(A50), "", A50+1),"")</f>
        <v/>
      </c>
      <c r="B52" s="28" t="s">
        <v>76</v>
      </c>
      <c r="C52" s="222"/>
      <c r="D52" s="354" t="s">
        <v>76</v>
      </c>
      <c r="E52" s="28" t="s">
        <v>76</v>
      </c>
      <c r="F52" s="222"/>
      <c r="G52" s="354" t="s">
        <v>76</v>
      </c>
      <c r="H52" s="28" t="s">
        <v>76</v>
      </c>
      <c r="I52" s="222"/>
      <c r="J52" s="354" t="s">
        <v>76</v>
      </c>
    </row>
    <row r="53" spans="1:10" ht="12.75" customHeight="1" x14ac:dyDescent="0.25">
      <c r="A53" s="353"/>
      <c r="B53" s="22" t="s">
        <v>12</v>
      </c>
      <c r="C53" s="26"/>
      <c r="D53" s="354"/>
      <c r="E53" s="22" t="s">
        <v>12</v>
      </c>
      <c r="F53" s="26"/>
      <c r="G53" s="354"/>
      <c r="H53" s="22" t="s">
        <v>12</v>
      </c>
      <c r="I53" s="26"/>
      <c r="J53" s="354"/>
    </row>
    <row r="54" spans="1:10" ht="12.75" customHeight="1" x14ac:dyDescent="0.25">
      <c r="A54" s="353" t="str">
        <f>IFERROR(IF(MONTH(A52+1)&lt;&gt;MONTH(A52), "", A52+1),"")</f>
        <v/>
      </c>
      <c r="B54" s="28" t="s">
        <v>76</v>
      </c>
      <c r="C54" s="222"/>
      <c r="D54" s="354" t="s">
        <v>76</v>
      </c>
      <c r="E54" s="28" t="s">
        <v>76</v>
      </c>
      <c r="F54" s="222"/>
      <c r="G54" s="354" t="s">
        <v>76</v>
      </c>
      <c r="H54" s="28" t="s">
        <v>76</v>
      </c>
      <c r="I54" s="222"/>
      <c r="J54" s="354" t="s">
        <v>76</v>
      </c>
    </row>
    <row r="55" spans="1:10" ht="12.75" customHeight="1" x14ac:dyDescent="0.25">
      <c r="A55" s="353"/>
      <c r="B55" s="22" t="s">
        <v>12</v>
      </c>
      <c r="C55" s="26"/>
      <c r="D55" s="354"/>
      <c r="E55" s="22" t="s">
        <v>12</v>
      </c>
      <c r="F55" s="26"/>
      <c r="G55" s="354"/>
      <c r="H55" s="22" t="s">
        <v>12</v>
      </c>
      <c r="I55" s="26"/>
      <c r="J55" s="354"/>
    </row>
    <row r="56" spans="1:10" ht="12.75" customHeight="1" x14ac:dyDescent="0.25">
      <c r="A56" s="353" t="str">
        <f>IFERROR(IF(MONTH(A54+1)&lt;&gt;MONTH(A54), "", A54+1),"")</f>
        <v/>
      </c>
      <c r="B56" s="28" t="s">
        <v>76</v>
      </c>
      <c r="C56" s="222"/>
      <c r="D56" s="354" t="s">
        <v>76</v>
      </c>
      <c r="E56" s="28" t="s">
        <v>76</v>
      </c>
      <c r="F56" s="222"/>
      <c r="G56" s="354" t="s">
        <v>76</v>
      </c>
      <c r="H56" s="28" t="s">
        <v>76</v>
      </c>
      <c r="I56" s="222"/>
      <c r="J56" s="354" t="s">
        <v>76</v>
      </c>
    </row>
    <row r="57" spans="1:10" ht="12.75" customHeight="1" x14ac:dyDescent="0.25">
      <c r="A57" s="353"/>
      <c r="B57" s="22" t="s">
        <v>12</v>
      </c>
      <c r="C57" s="26"/>
      <c r="D57" s="354"/>
      <c r="E57" s="22" t="s">
        <v>12</v>
      </c>
      <c r="F57" s="26"/>
      <c r="G57" s="354"/>
      <c r="H57" s="22" t="s">
        <v>12</v>
      </c>
      <c r="I57" s="26"/>
      <c r="J57" s="354"/>
    </row>
    <row r="58" spans="1:10" ht="12.75" customHeight="1" x14ac:dyDescent="0.25">
      <c r="A58" s="353" t="str">
        <f>IFERROR(IF(MONTH(A56+1)&lt;&gt;MONTH(A56), "", A56+1),"")</f>
        <v/>
      </c>
      <c r="B58" s="28" t="s">
        <v>76</v>
      </c>
      <c r="C58" s="222"/>
      <c r="D58" s="354" t="s">
        <v>76</v>
      </c>
      <c r="E58" s="28" t="s">
        <v>76</v>
      </c>
      <c r="F58" s="222"/>
      <c r="G58" s="354" t="s">
        <v>76</v>
      </c>
      <c r="H58" s="28" t="s">
        <v>76</v>
      </c>
      <c r="I58" s="222"/>
      <c r="J58" s="354" t="s">
        <v>76</v>
      </c>
    </row>
    <row r="59" spans="1:10" ht="12.75" customHeight="1" thickBot="1" x14ac:dyDescent="0.3">
      <c r="A59" s="365"/>
      <c r="B59" s="23" t="s">
        <v>12</v>
      </c>
      <c r="C59" s="27"/>
      <c r="D59" s="367"/>
      <c r="E59" s="23" t="s">
        <v>12</v>
      </c>
      <c r="F59" s="27"/>
      <c r="G59" s="367"/>
      <c r="H59" s="23" t="s">
        <v>12</v>
      </c>
      <c r="I59" s="27"/>
      <c r="J59" s="367"/>
    </row>
    <row r="60" spans="1:10" ht="12.75" hidden="1" customHeight="1" x14ac:dyDescent="0.25">
      <c r="A60" s="364" t="str">
        <f>IFERROR(IF(MONTH(A58+1)&lt;&gt;MONTH(A58), "", A58+1),"")</f>
        <v/>
      </c>
      <c r="B60" s="29" t="s">
        <v>76</v>
      </c>
      <c r="C60" s="223"/>
      <c r="D60" s="366" t="s">
        <v>76</v>
      </c>
      <c r="E60" s="29" t="s">
        <v>76</v>
      </c>
      <c r="F60" s="223"/>
      <c r="G60" s="366" t="s">
        <v>76</v>
      </c>
      <c r="H60" s="29" t="s">
        <v>76</v>
      </c>
      <c r="I60" s="223"/>
      <c r="J60" s="366" t="s">
        <v>76</v>
      </c>
    </row>
    <row r="61" spans="1:10" ht="12.75" hidden="1" customHeight="1" thickBot="1" x14ac:dyDescent="0.3">
      <c r="A61" s="365"/>
      <c r="B61" s="23" t="s">
        <v>12</v>
      </c>
      <c r="C61" s="27"/>
      <c r="D61" s="367"/>
      <c r="E61" s="23" t="s">
        <v>12</v>
      </c>
      <c r="F61" s="27"/>
      <c r="G61" s="367"/>
      <c r="H61" s="23" t="s">
        <v>12</v>
      </c>
      <c r="I61" s="27"/>
      <c r="J61" s="367"/>
    </row>
    <row r="62" spans="1:10" ht="12.75" hidden="1" customHeight="1" x14ac:dyDescent="0.25">
      <c r="A62" s="364" t="str">
        <f>IFERROR(IF(MONTH(A60+1)&lt;&gt;MONTH(A60), "", A60+1),"")</f>
        <v/>
      </c>
      <c r="B62" s="29" t="s">
        <v>76</v>
      </c>
      <c r="C62" s="223"/>
      <c r="D62" s="366" t="s">
        <v>76</v>
      </c>
      <c r="E62" s="29" t="s">
        <v>76</v>
      </c>
      <c r="F62" s="223"/>
      <c r="G62" s="366" t="s">
        <v>76</v>
      </c>
      <c r="H62" s="29" t="s">
        <v>76</v>
      </c>
      <c r="I62" s="223"/>
      <c r="J62" s="366" t="s">
        <v>76</v>
      </c>
    </row>
    <row r="63" spans="1:10" ht="12.75" hidden="1" customHeight="1" thickBot="1" x14ac:dyDescent="0.3">
      <c r="A63" s="365"/>
      <c r="B63" s="23" t="s">
        <v>12</v>
      </c>
      <c r="C63" s="27"/>
      <c r="D63" s="367"/>
      <c r="E63" s="23" t="s">
        <v>12</v>
      </c>
      <c r="F63" s="27"/>
      <c r="G63" s="367"/>
      <c r="H63" s="23" t="s">
        <v>12</v>
      </c>
      <c r="I63" s="27"/>
      <c r="J63" s="367"/>
    </row>
    <row r="64" spans="1:10" ht="12.75" hidden="1" customHeight="1" x14ac:dyDescent="0.25">
      <c r="A64" s="364" t="str">
        <f>IFERROR(IF(MONTH(A62+1)&lt;&gt;MONTH(A62), "", A62+1),"")</f>
        <v/>
      </c>
      <c r="B64" s="29" t="s">
        <v>76</v>
      </c>
      <c r="C64" s="223"/>
      <c r="D64" s="366" t="s">
        <v>76</v>
      </c>
      <c r="E64" s="29" t="s">
        <v>76</v>
      </c>
      <c r="F64" s="223"/>
      <c r="G64" s="366" t="s">
        <v>76</v>
      </c>
      <c r="H64" s="29" t="s">
        <v>76</v>
      </c>
      <c r="I64" s="223"/>
      <c r="J64" s="366" t="s">
        <v>76</v>
      </c>
    </row>
    <row r="65" spans="1:10" ht="12.75" hidden="1" customHeight="1" thickBot="1" x14ac:dyDescent="0.3">
      <c r="A65" s="365"/>
      <c r="B65" s="23" t="s">
        <v>12</v>
      </c>
      <c r="C65" s="27"/>
      <c r="D65" s="367"/>
      <c r="E65" s="23" t="s">
        <v>12</v>
      </c>
      <c r="F65" s="27"/>
      <c r="G65" s="367"/>
      <c r="H65" s="23" t="s">
        <v>12</v>
      </c>
      <c r="I65" s="27"/>
      <c r="J65" s="367"/>
    </row>
    <row r="66" spans="1:10" ht="12.75" customHeight="1" thickBot="1" x14ac:dyDescent="0.3">
      <c r="A66" s="12"/>
      <c r="B66" s="7"/>
      <c r="C66" s="7"/>
      <c r="D66" s="7"/>
      <c r="E66" s="7"/>
      <c r="F66" s="7"/>
      <c r="G66" s="7"/>
      <c r="H66" s="7"/>
      <c r="I66" s="7"/>
      <c r="J66" s="13"/>
    </row>
    <row r="67" spans="1:10" ht="12.75" customHeight="1" thickBot="1" x14ac:dyDescent="0.3">
      <c r="A67" s="12"/>
      <c r="B67" s="6"/>
      <c r="C67" s="9" t="s">
        <v>13</v>
      </c>
      <c r="D67" s="7"/>
      <c r="E67" s="7"/>
      <c r="F67" s="7"/>
      <c r="G67" s="7"/>
      <c r="H67" s="7"/>
      <c r="I67" s="7"/>
      <c r="J67" s="13"/>
    </row>
    <row r="68" spans="1:10" ht="12.75" customHeight="1" thickBot="1" x14ac:dyDescent="0.3">
      <c r="A68" s="14"/>
      <c r="B68" s="15"/>
      <c r="C68" s="15"/>
      <c r="D68" s="15"/>
      <c r="E68" s="15"/>
      <c r="F68" s="15"/>
      <c r="G68" s="15"/>
      <c r="H68" s="15"/>
      <c r="I68" s="15"/>
      <c r="J68" s="16"/>
    </row>
  </sheetData>
  <sheetProtection algorithmName="SHA-512" hashValue="k+6ZsKu4ih3ZlqaxwRH5Ad/Exn8ATQIfZ0gSSKGW1I7rNtr/DAD48jynr588llt4uauDV6LGdLwJz6Bwy1PsuA==" saltValue="GGEQ8Wfl7SDfnh+UUyJLVQ==" spinCount="100000" sheet="1" objects="1" scenarios="1" selectLockedCells="1" sort="0" autoFilter="0"/>
  <mergeCells count="128">
    <mergeCell ref="A62:A63"/>
    <mergeCell ref="D62:D63"/>
    <mergeCell ref="G62:G63"/>
    <mergeCell ref="J62:J63"/>
    <mergeCell ref="A64:A65"/>
    <mergeCell ref="D64:D65"/>
    <mergeCell ref="G64:G65"/>
    <mergeCell ref="J64:J65"/>
    <mergeCell ref="A58:A59"/>
    <mergeCell ref="D58:D59"/>
    <mergeCell ref="G58:G59"/>
    <mergeCell ref="J58:J59"/>
    <mergeCell ref="A60:A61"/>
    <mergeCell ref="D60:D61"/>
    <mergeCell ref="G60:G61"/>
    <mergeCell ref="J60:J61"/>
    <mergeCell ref="A54:A55"/>
    <mergeCell ref="D54:D55"/>
    <mergeCell ref="G54:G55"/>
    <mergeCell ref="J54:J55"/>
    <mergeCell ref="A56:A57"/>
    <mergeCell ref="D56:D57"/>
    <mergeCell ref="G56:G57"/>
    <mergeCell ref="J56:J57"/>
    <mergeCell ref="A50:A51"/>
    <mergeCell ref="D50:D51"/>
    <mergeCell ref="G50:G51"/>
    <mergeCell ref="J50:J51"/>
    <mergeCell ref="A52:A53"/>
    <mergeCell ref="D52:D53"/>
    <mergeCell ref="G52:G53"/>
    <mergeCell ref="J52:J53"/>
    <mergeCell ref="A46:A47"/>
    <mergeCell ref="D46:D47"/>
    <mergeCell ref="G46:G47"/>
    <mergeCell ref="J46:J47"/>
    <mergeCell ref="A48:A49"/>
    <mergeCell ref="D48:D49"/>
    <mergeCell ref="G48:G49"/>
    <mergeCell ref="J48:J49"/>
    <mergeCell ref="A42:A43"/>
    <mergeCell ref="D42:D43"/>
    <mergeCell ref="G42:G43"/>
    <mergeCell ref="J42:J43"/>
    <mergeCell ref="A44:A45"/>
    <mergeCell ref="D44:D45"/>
    <mergeCell ref="G44:G45"/>
    <mergeCell ref="J44:J45"/>
    <mergeCell ref="A38:A39"/>
    <mergeCell ref="D38:D39"/>
    <mergeCell ref="G38:G39"/>
    <mergeCell ref="J38:J39"/>
    <mergeCell ref="A40:A41"/>
    <mergeCell ref="D40:D41"/>
    <mergeCell ref="G40:G41"/>
    <mergeCell ref="J40:J41"/>
    <mergeCell ref="A34:A35"/>
    <mergeCell ref="D34:D35"/>
    <mergeCell ref="G34:G35"/>
    <mergeCell ref="J34:J35"/>
    <mergeCell ref="A36:A37"/>
    <mergeCell ref="D36:D37"/>
    <mergeCell ref="G36:G37"/>
    <mergeCell ref="J36:J37"/>
    <mergeCell ref="A30:A31"/>
    <mergeCell ref="D30:D31"/>
    <mergeCell ref="G30:G31"/>
    <mergeCell ref="J30:J31"/>
    <mergeCell ref="A32:A33"/>
    <mergeCell ref="D32:D33"/>
    <mergeCell ref="G32:G33"/>
    <mergeCell ref="J32:J33"/>
    <mergeCell ref="A26:A27"/>
    <mergeCell ref="D26:D27"/>
    <mergeCell ref="G26:G27"/>
    <mergeCell ref="J26:J27"/>
    <mergeCell ref="A28:A29"/>
    <mergeCell ref="D28:D29"/>
    <mergeCell ref="G28:G29"/>
    <mergeCell ref="J28:J29"/>
    <mergeCell ref="A22:A23"/>
    <mergeCell ref="D22:D23"/>
    <mergeCell ref="G22:G23"/>
    <mergeCell ref="J22:J23"/>
    <mergeCell ref="A24:A25"/>
    <mergeCell ref="D24:D25"/>
    <mergeCell ref="G24:G25"/>
    <mergeCell ref="J24:J25"/>
    <mergeCell ref="A18:A19"/>
    <mergeCell ref="D18:D19"/>
    <mergeCell ref="G18:G19"/>
    <mergeCell ref="J18:J19"/>
    <mergeCell ref="A20:A21"/>
    <mergeCell ref="D20:D21"/>
    <mergeCell ref="G20:G21"/>
    <mergeCell ref="J20:J21"/>
    <mergeCell ref="A14:A15"/>
    <mergeCell ref="D14:D15"/>
    <mergeCell ref="G14:G15"/>
    <mergeCell ref="J14:J15"/>
    <mergeCell ref="A16:A17"/>
    <mergeCell ref="D16:D17"/>
    <mergeCell ref="G16:G17"/>
    <mergeCell ref="J16:J17"/>
    <mergeCell ref="A10:A11"/>
    <mergeCell ref="D10:D11"/>
    <mergeCell ref="G10:G11"/>
    <mergeCell ref="J10:J11"/>
    <mergeCell ref="A12:A13"/>
    <mergeCell ref="D12:D13"/>
    <mergeCell ref="G12:G13"/>
    <mergeCell ref="J12:J13"/>
    <mergeCell ref="A6:A7"/>
    <mergeCell ref="D6:D7"/>
    <mergeCell ref="G6:G7"/>
    <mergeCell ref="J6:J7"/>
    <mergeCell ref="A8:A9"/>
    <mergeCell ref="D8:D9"/>
    <mergeCell ref="G8:G9"/>
    <mergeCell ref="J8:J9"/>
    <mergeCell ref="A1:J1"/>
    <mergeCell ref="B2:D2"/>
    <mergeCell ref="E2:G2"/>
    <mergeCell ref="H2:J2"/>
    <mergeCell ref="A4:A5"/>
    <mergeCell ref="D4:D5"/>
    <mergeCell ref="G4:G5"/>
    <mergeCell ref="J4:J5"/>
  </mergeCells>
  <conditionalFormatting sqref="B4:J65">
    <cfRule type="containsBlanks" dxfId="70" priority="7">
      <formula>LEN(TRIM(B4))=0</formula>
    </cfRule>
  </conditionalFormatting>
  <conditionalFormatting sqref="B60:I65">
    <cfRule type="expression" dxfId="69" priority="2">
      <formula>IFERROR(INDIRECT("A"&amp;SUM(ODD(ROW())-1))="", TRUE)</formula>
    </cfRule>
  </conditionalFormatting>
  <conditionalFormatting sqref="A60:J65">
    <cfRule type="expression" dxfId="68" priority="6">
      <formula>NOT(IFERROR(INDIRECT("A"&amp;SUM(ODD(ROW())-1))="", TRUE))</formula>
    </cfRule>
  </conditionalFormatting>
  <conditionalFormatting sqref="A60:A65">
    <cfRule type="expression" dxfId="67" priority="5">
      <formula>IFERROR(INDIRECT("A"&amp;SUM(ODD(ROW())-1))="", TRUE)</formula>
    </cfRule>
  </conditionalFormatting>
  <conditionalFormatting sqref="J60:J65">
    <cfRule type="expression" dxfId="66" priority="4">
      <formula>IFERROR(INDIRECT("A"&amp;SUM(ODD(ROW())-1))="", TRUE)</formula>
    </cfRule>
  </conditionalFormatting>
  <dataValidations count="6">
    <dataValidation type="list" allowBlank="1" showInputMessage="1" showErrorMessage="1" errorTitle="Input Error" error="Please use the drop down box to select your rank." sqref="B4 B6 B8 B10 B12 B14 B16 B18 B20 B22 B24 B26 B28 B30 B32 B34 B36 B38 B40 B42 B44 B46 B48 B50 B52 B54 B56 B58 B60 B62 B64">
      <formula1>DepDD_S2_DP01</formula1>
    </dataValidation>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DepDD_S2_DP02</formula1>
    </dataValidation>
    <dataValidation type="list" allowBlank="1" showInputMessage="1" showErrorMessage="1" errorTitle="Input Error" error="Please use the drop down box to select your rank." sqref="H4 H6 H8 H10 H12 H14 H16 H18 H20 H22 H24 H26 H28 H30 H32 H34 H36 H38 H40 H42 H44 H46 H48 H50 H52 H54 H56 H58 H60 H62 H64">
      <formula1>DepDD_S2_DP03</formula1>
    </dataValidation>
    <dataValidation type="list" allowBlank="1" showInputMessage="1" showErrorMessage="1" errorTitle="Input Error" error="Please use the drop down box to select your company." sqref="D4:D65 G4:G65 J4:J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3 C65 F5 F7 F9 F11 F13 F15 F17 F19 F21 F23 F25 F27 F29 F31 F33 F35 F37 F39 F41 F43 F45 F47 F49 F51 F53 F55 F57 F59 F61 F63 F65 I5 I7 I9 I11 I13 I15 I17 I19 I21 I23 I25 I27 I29 I31 I33 I35 I37 I39 I41 I43 I45 I47 I49 I51 I53 I55 I57 I59 I61 I63 I65">
      <formula1>ISNUMBER(CELL("contents",INDIRECT(ADDRESS(ROW(),COLUMN()))))</formula1>
    </dataValidation>
  </dataValidations>
  <pageMargins left="0.7" right="0.7" top="0.75" bottom="0.75" header="0.3" footer="0.3"/>
  <pageSetup scale="65" orientation="portrait" r:id="rId1"/>
  <extLst>
    <ext xmlns:x14="http://schemas.microsoft.com/office/spreadsheetml/2009/9/main" uri="{78C0D931-6437-407d-A8EE-F0AAD7539E65}">
      <x14:conditionalFormattings>
        <x14:conditionalFormatting xmlns:xm="http://schemas.microsoft.com/office/excel/2006/main">
          <x14:cfRule type="containsText" priority="16" operator="containsText" id="{74143BE6-8CED-4B0C-872A-6FE1320C2340}">
            <xm:f>NOT(ISERROR(SEARCH(DevMode!$I$12,D4)))</xm:f>
            <xm:f>DevMode!$I$12</xm:f>
            <x14:dxf>
              <font>
                <color theme="1"/>
              </font>
              <fill>
                <patternFill>
                  <bgColor theme="4"/>
                </patternFill>
              </fill>
            </x14:dxf>
          </x14:cfRule>
          <x14:cfRule type="containsText" priority="17" operator="containsText" id="{B0B61463-B46A-4BAA-B7C5-2C12B05980CD}">
            <xm:f>NOT(ISERROR(SEARCH(DevMode!$I$13,D4)))</xm:f>
            <xm:f>DevMode!$I$13</xm:f>
            <x14:dxf>
              <font>
                <color theme="1"/>
              </font>
              <fill>
                <patternFill>
                  <bgColor theme="7"/>
                </patternFill>
              </fill>
            </x14:dxf>
          </x14:cfRule>
          <x14:cfRule type="containsText" priority="18" operator="containsText" id="{CA8545E5-64BA-45AC-857B-6FCF3B31ED5D}">
            <xm:f>NOT(ISERROR(SEARCH(DevMode!$I$18,D4)))</xm:f>
            <xm:f>DevMode!$I$18</xm:f>
            <x14:dxf>
              <font>
                <color theme="1"/>
              </font>
              <fill>
                <patternFill>
                  <bgColor theme="3"/>
                </patternFill>
              </fill>
            </x14:dxf>
          </x14:cfRule>
          <x14:cfRule type="containsText" priority="19" operator="containsText" id="{6E6816A2-57E6-481D-99D7-B6C31C022DD6}">
            <xm:f>NOT(ISERROR(SEARCH(DevMode!$I$14,D4)))</xm:f>
            <xm:f>DevMode!$I$14</xm:f>
            <x14:dxf>
              <font>
                <color theme="1"/>
              </font>
              <fill>
                <patternFill>
                  <bgColor theme="9"/>
                </patternFill>
              </fill>
            </x14:dxf>
          </x14:cfRule>
          <x14:cfRule type="containsText" priority="20" operator="containsText" id="{CBFCFD8D-DBBA-43C2-995E-8C3B156C8894}">
            <xm:f>NOT(ISERROR(SEARCH(DevMode!$I$15,D4)))</xm:f>
            <xm:f>DevMode!$I$15</xm:f>
            <x14:dxf>
              <font>
                <color theme="1"/>
              </font>
              <fill>
                <patternFill>
                  <bgColor rgb="FF7030A0"/>
                </patternFill>
              </fill>
            </x14:dxf>
          </x14:cfRule>
          <x14:cfRule type="containsText" priority="21" operator="containsText" id="{84050E22-57EC-4E0D-8273-9682FDDE47F6}">
            <xm:f>NOT(ISERROR(SEARCH(DevMode!$I$16,D4)))</xm:f>
            <xm:f>DevMode!$I$16</xm:f>
            <x14:dxf>
              <font>
                <color theme="0"/>
              </font>
              <fill>
                <patternFill>
                  <bgColor theme="1"/>
                </patternFill>
              </fill>
            </x14:dxf>
          </x14:cfRule>
          <x14:cfRule type="containsText" priority="23" operator="containsText" id="{17F72699-AA71-4C90-BE41-7D4FCE9180D5}">
            <xm:f>NOT(ISERROR(SEARCH(DevMode!$I$17,D4)))</xm:f>
            <xm:f>DevMode!$I$17</xm:f>
            <x14:dxf>
              <font>
                <color theme="1"/>
              </font>
              <fill>
                <patternFill>
                  <bgColor rgb="FFFF0000"/>
                </patternFill>
              </fill>
            </x14:dxf>
          </x14:cfRule>
          <xm:sqref>D4:D65 G4:G65 J4:J65</xm:sqref>
        </x14:conditionalFormatting>
        <x14:conditionalFormatting xmlns:xm="http://schemas.microsoft.com/office/excel/2006/main">
          <x14:cfRule type="expression" priority="10" id="{620079F4-AE7F-4BD2-BEC7-FBEDD85B00CF}">
            <xm:f>OR(WEEKDAY(INDIRECT("A"&amp;SUM(ODD(ROW())-1)))=1,WEEKDAY(INDIRECT("A"&amp;SUM(ODD(ROW())-1)))=7,COUNTIFS(Summary!$K$44:$K$53,"&lt;"&amp;INDIRECT("A"&amp;SUM(ODD(ROW())-1)),Summary!$L$44:$L$53,"&gt;"&amp;INDIRECT("A"&amp;SUM(ODD(ROW())-1)))&gt;0)</xm:f>
            <x14:dxf>
              <font>
                <color theme="1"/>
              </font>
              <fill>
                <patternFill>
                  <bgColor rgb="FFFFFF00"/>
                </patternFill>
              </fill>
            </x14:dxf>
          </x14:cfRule>
          <xm:sqref>A4:C65 E4:F65 H4:I65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65"/>
  <sheetViews>
    <sheetView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3" max="13" width="0" hidden="1" customWidth="1"/>
  </cols>
  <sheetData>
    <row r="1" spans="1:13" ht="15.75" thickBot="1" x14ac:dyDescent="0.3">
      <c r="A1" s="355" t="str">
        <f>DevMode!B27</f>
        <v>8th Communication Battalion Supernumerary</v>
      </c>
      <c r="B1" s="356"/>
      <c r="C1" s="356"/>
      <c r="D1" s="356"/>
      <c r="E1" s="356"/>
      <c r="F1" s="356"/>
      <c r="G1" s="356"/>
      <c r="H1" s="356"/>
      <c r="I1" s="356"/>
      <c r="J1" s="357"/>
    </row>
    <row r="2" spans="1:13" x14ac:dyDescent="0.25">
      <c r="A2" s="11" t="str">
        <f>TEXT(MASTER!B2&amp;" "&amp;MASTER!D2, "mmm-yy")</f>
        <v xml:space="preserve"> </v>
      </c>
      <c r="B2" s="358" t="str">
        <f>IF(DevMode!B28="","Unused",DevMode!B28)</f>
        <v>OOD</v>
      </c>
      <c r="C2" s="359"/>
      <c r="D2" s="360"/>
      <c r="E2" s="358" t="str">
        <f>IF(DevMode!B30="","Unused",DevMode!B30)</f>
        <v>AOOD</v>
      </c>
      <c r="F2" s="359"/>
      <c r="G2" s="361"/>
      <c r="H2" s="358" t="str">
        <f>IF(DevMode!B32="","Unused",DevMode!B32)</f>
        <v>Duty Driver</v>
      </c>
      <c r="I2" s="359"/>
      <c r="J2" s="361"/>
    </row>
    <row r="3" spans="1:13" ht="15.75" thickBot="1" x14ac:dyDescent="0.3">
      <c r="A3" s="17" t="s">
        <v>10</v>
      </c>
      <c r="B3" s="18" t="s">
        <v>11</v>
      </c>
      <c r="C3" s="19" t="s">
        <v>14</v>
      </c>
      <c r="D3" s="20" t="s">
        <v>15</v>
      </c>
      <c r="E3" s="18" t="s">
        <v>11</v>
      </c>
      <c r="F3" s="19" t="s">
        <v>14</v>
      </c>
      <c r="G3" s="21" t="s">
        <v>15</v>
      </c>
      <c r="H3" s="18" t="s">
        <v>11</v>
      </c>
      <c r="I3" s="19" t="s">
        <v>14</v>
      </c>
      <c r="J3" s="21" t="s">
        <v>15</v>
      </c>
    </row>
    <row r="4" spans="1:13" x14ac:dyDescent="0.25">
      <c r="A4" s="372" t="str">
        <f>IF(M10&gt;=1, "1", "")</f>
        <v/>
      </c>
      <c r="B4" s="30" t="s">
        <v>76</v>
      </c>
      <c r="C4" s="221"/>
      <c r="D4" s="363" t="s">
        <v>76</v>
      </c>
      <c r="E4" s="30" t="s">
        <v>76</v>
      </c>
      <c r="F4" s="221"/>
      <c r="G4" s="363" t="s">
        <v>76</v>
      </c>
      <c r="H4" s="30"/>
      <c r="I4" s="221"/>
      <c r="J4" s="363" t="s">
        <v>76</v>
      </c>
      <c r="M4" t="e">
        <f>IF(OR(MONTH(MASTER!B4)=MONTH(Start), MONTH(MASTER!E4)=MONTH(Start), MONTH(MASTER!H4)=MONTH(Start), MONTH(MASTER!K4)=MONTH(Start), MONTH(MASTER!N4)=MONTH(Start), MONTH(MASTER!Q4)=MONTH(Start), MONTH(MASTER!T4)=MONTH(Start)), "Yes", "No")</f>
        <v>#VALUE!</v>
      </c>
    </row>
    <row r="5" spans="1:13" x14ac:dyDescent="0.25">
      <c r="A5" s="371"/>
      <c r="B5" s="22" t="s">
        <v>12</v>
      </c>
      <c r="C5" s="26"/>
      <c r="D5" s="354"/>
      <c r="E5" s="22" t="s">
        <v>12</v>
      </c>
      <c r="F5" s="26"/>
      <c r="G5" s="354"/>
      <c r="H5" s="22" t="s">
        <v>12</v>
      </c>
      <c r="I5" s="26"/>
      <c r="J5" s="354"/>
      <c r="M5" t="e">
        <f>IF(OR(MONTH(MASTER!B18)=MONTH(Start), MONTH(MASTER!E18)=MONTH(Start), MONTH(MASTER!H18)=MONTH(Start), MONTH(MASTER!K18)=MONTH(Start), MONTH(MASTER!N18)=MONTH(Start), MONTH(MASTER!Q18)=MONTH(Start), MONTH(MASTER!T18)=MONTH(Start)), "Yes", "No")</f>
        <v>#VALUE!</v>
      </c>
    </row>
    <row r="6" spans="1:13" x14ac:dyDescent="0.25">
      <c r="A6" s="370" t="str">
        <f>IF(M10&gt;=2, "2", "")</f>
        <v/>
      </c>
      <c r="B6" s="28" t="s">
        <v>76</v>
      </c>
      <c r="C6" s="222"/>
      <c r="D6" s="354" t="s">
        <v>76</v>
      </c>
      <c r="E6" s="28" t="s">
        <v>76</v>
      </c>
      <c r="F6" s="222"/>
      <c r="G6" s="354" t="s">
        <v>76</v>
      </c>
      <c r="H6" s="28"/>
      <c r="I6" s="222"/>
      <c r="J6" s="354" t="s">
        <v>76</v>
      </c>
      <c r="M6" t="e">
        <f>IF(OR(MONTH(MASTER!B32)=MONTH(Start), MONTH(MASTER!E32)=MONTH(Start), MONTH(MASTER!H32)=MONTH(Start), MONTH(MASTER!K32)=MONTH(Start), MONTH(MASTER!N32)=MONTH(Start), MONTH(MASTER!Q32)=MONTH(Start), MONTH(MASTER!T32)=MONTH(Start)), "Yes", "No")</f>
        <v>#VALUE!</v>
      </c>
    </row>
    <row r="7" spans="1:13" x14ac:dyDescent="0.25">
      <c r="A7" s="371"/>
      <c r="B7" s="22" t="s">
        <v>12</v>
      </c>
      <c r="C7" s="26"/>
      <c r="D7" s="354"/>
      <c r="E7" s="22" t="s">
        <v>12</v>
      </c>
      <c r="F7" s="26"/>
      <c r="G7" s="354"/>
      <c r="H7" s="22" t="s">
        <v>12</v>
      </c>
      <c r="I7" s="26"/>
      <c r="J7" s="354"/>
      <c r="M7" t="e">
        <f>IF(OR(MONTH(MASTER!B46)=MONTH(Start), MONTH(MASTER!E46)=MONTH(Start), MONTH(MASTER!H46)=MONTH(Start), MONTH(MASTER!K46)=MONTH(Start), MONTH(MASTER!N46)=MONTH(Start), MONTH(MASTER!Q46)=MONTH(Start), MONTH(MASTER!T46)=MONTH(Start)), "Yes", "No")</f>
        <v>#VALUE!</v>
      </c>
    </row>
    <row r="8" spans="1:13" x14ac:dyDescent="0.25">
      <c r="A8" s="370" t="str">
        <f>IF(M10&gt;=3, "3", "")</f>
        <v/>
      </c>
      <c r="B8" s="28" t="s">
        <v>76</v>
      </c>
      <c r="C8" s="222"/>
      <c r="D8" s="354" t="s">
        <v>76</v>
      </c>
      <c r="E8" s="28" t="s">
        <v>76</v>
      </c>
      <c r="F8" s="222"/>
      <c r="G8" s="354" t="s">
        <v>76</v>
      </c>
      <c r="H8" s="28"/>
      <c r="I8" s="222"/>
      <c r="J8" s="354" t="s">
        <v>76</v>
      </c>
      <c r="M8" t="e">
        <f>IF(OR(MONTH(MASTER!B60)=MONTH(Start), MONTH(MASTER!E60)=MONTH(Start), MONTH(MASTER!H60)=MONTH(Start), MONTH(MASTER!K60)=MONTH(Start), MONTH(MASTER!N60)=MONTH(Start), MONTH(MASTER!Q60)=MONTH(Start), MONTH(MASTER!T60)=MONTH(Start)), "Yes", "No")</f>
        <v>#VALUE!</v>
      </c>
    </row>
    <row r="9" spans="1:13" x14ac:dyDescent="0.25">
      <c r="A9" s="371"/>
      <c r="B9" s="22" t="s">
        <v>12</v>
      </c>
      <c r="C9" s="26"/>
      <c r="D9" s="354"/>
      <c r="E9" s="22" t="s">
        <v>12</v>
      </c>
      <c r="F9" s="26"/>
      <c r="G9" s="354"/>
      <c r="H9" s="22" t="s">
        <v>12</v>
      </c>
      <c r="I9" s="26"/>
      <c r="J9" s="354"/>
      <c r="M9" t="e">
        <f>IF(OR(MONTH(MASTER!B74)=MONTH(Start), MONTH(MASTER!E74)=MONTH(Start), MONTH(MASTER!H74)=MONTH(Start), MONTH(MASTER!K74)=MONTH(Start), MONTH(MASTER!N74)=MONTH(Start), MONTH(MASTER!Q74)=MONTH(Start), MONTH(MASTER!T74)=MONTH(Start)), "Yes", "No")</f>
        <v>#VALUE!</v>
      </c>
    </row>
    <row r="10" spans="1:13" x14ac:dyDescent="0.25">
      <c r="A10" s="370" t="str">
        <f>IF(M10&gt;=4, "4", "")</f>
        <v/>
      </c>
      <c r="B10" s="28" t="s">
        <v>76</v>
      </c>
      <c r="C10" s="222"/>
      <c r="D10" s="354" t="s">
        <v>76</v>
      </c>
      <c r="E10" s="28" t="s">
        <v>76</v>
      </c>
      <c r="F10" s="222"/>
      <c r="G10" s="354" t="s">
        <v>76</v>
      </c>
      <c r="H10" s="28"/>
      <c r="I10" s="222"/>
      <c r="J10" s="354" t="s">
        <v>76</v>
      </c>
      <c r="M10">
        <f>COUNTIF(M4:M9,"Yes")</f>
        <v>0</v>
      </c>
    </row>
    <row r="11" spans="1:13" ht="15.75" thickBot="1" x14ac:dyDescent="0.3">
      <c r="A11" s="369"/>
      <c r="B11" s="23" t="s">
        <v>12</v>
      </c>
      <c r="C11" s="27"/>
      <c r="D11" s="367"/>
      <c r="E11" s="23" t="s">
        <v>12</v>
      </c>
      <c r="F11" s="27"/>
      <c r="G11" s="367"/>
      <c r="H11" s="23" t="s">
        <v>12</v>
      </c>
      <c r="I11" s="27"/>
      <c r="J11" s="367"/>
    </row>
    <row r="12" spans="1:13" hidden="1" x14ac:dyDescent="0.25">
      <c r="A12" s="368" t="str">
        <f>IF(M10&gt;=5, "5", "")</f>
        <v/>
      </c>
      <c r="B12" s="29" t="s">
        <v>76</v>
      </c>
      <c r="C12" s="223"/>
      <c r="D12" s="366" t="s">
        <v>76</v>
      </c>
      <c r="E12" s="29" t="s">
        <v>76</v>
      </c>
      <c r="F12" s="223"/>
      <c r="G12" s="366" t="s">
        <v>76</v>
      </c>
      <c r="H12" s="29"/>
      <c r="I12" s="223"/>
      <c r="J12" s="366" t="s">
        <v>76</v>
      </c>
    </row>
    <row r="13" spans="1:13" ht="15.75" hidden="1" thickBot="1" x14ac:dyDescent="0.3">
      <c r="A13" s="369"/>
      <c r="B13" s="23" t="s">
        <v>12</v>
      </c>
      <c r="C13" s="27"/>
      <c r="D13" s="367"/>
      <c r="E13" s="23" t="s">
        <v>12</v>
      </c>
      <c r="F13" s="27"/>
      <c r="G13" s="367"/>
      <c r="H13" s="23" t="s">
        <v>12</v>
      </c>
      <c r="I13" s="27"/>
      <c r="J13" s="367"/>
    </row>
    <row r="14" spans="1:13" hidden="1" x14ac:dyDescent="0.25">
      <c r="A14" s="368" t="str">
        <f>IF(M10=6, "6", "")</f>
        <v/>
      </c>
      <c r="B14" s="29" t="s">
        <v>76</v>
      </c>
      <c r="C14" s="223"/>
      <c r="D14" s="366" t="s">
        <v>76</v>
      </c>
      <c r="E14" s="29" t="s">
        <v>76</v>
      </c>
      <c r="F14" s="223"/>
      <c r="G14" s="366" t="s">
        <v>76</v>
      </c>
      <c r="H14" s="29"/>
      <c r="I14" s="223"/>
      <c r="J14" s="366" t="s">
        <v>76</v>
      </c>
    </row>
    <row r="15" spans="1:13" ht="15.75" hidden="1" thickBot="1" x14ac:dyDescent="0.3">
      <c r="A15" s="369"/>
      <c r="B15" s="23" t="s">
        <v>12</v>
      </c>
      <c r="C15" s="27"/>
      <c r="D15" s="367"/>
      <c r="E15" s="23" t="s">
        <v>12</v>
      </c>
      <c r="F15" s="27"/>
      <c r="G15" s="367"/>
      <c r="H15" s="23" t="s">
        <v>12</v>
      </c>
      <c r="I15" s="27"/>
      <c r="J15" s="367"/>
    </row>
    <row r="16" spans="1:13" x14ac:dyDescent="0.25">
      <c r="D16" t="s">
        <v>76</v>
      </c>
      <c r="G16" t="s">
        <v>76</v>
      </c>
      <c r="J16" t="s">
        <v>76</v>
      </c>
    </row>
    <row r="17" spans="4:10" x14ac:dyDescent="0.25">
      <c r="D17" t="s">
        <v>76</v>
      </c>
      <c r="G17" t="s">
        <v>76</v>
      </c>
      <c r="J17" t="s">
        <v>76</v>
      </c>
    </row>
    <row r="18" spans="4:10" x14ac:dyDescent="0.25">
      <c r="D18" t="s">
        <v>76</v>
      </c>
      <c r="G18" t="s">
        <v>76</v>
      </c>
      <c r="J18" t="s">
        <v>76</v>
      </c>
    </row>
    <row r="19" spans="4:10" x14ac:dyDescent="0.25">
      <c r="D19" t="s">
        <v>76</v>
      </c>
      <c r="G19" t="s">
        <v>76</v>
      </c>
      <c r="J19" t="s">
        <v>76</v>
      </c>
    </row>
    <row r="20" spans="4:10" x14ac:dyDescent="0.25">
      <c r="D20" t="s">
        <v>76</v>
      </c>
      <c r="G20" t="s">
        <v>76</v>
      </c>
      <c r="J20" t="s">
        <v>76</v>
      </c>
    </row>
    <row r="21" spans="4:10" x14ac:dyDescent="0.25">
      <c r="D21" t="s">
        <v>76</v>
      </c>
      <c r="G21" t="s">
        <v>76</v>
      </c>
      <c r="J21" t="s">
        <v>76</v>
      </c>
    </row>
    <row r="22" spans="4:10" x14ac:dyDescent="0.25">
      <c r="D22" t="s">
        <v>76</v>
      </c>
      <c r="G22" t="s">
        <v>76</v>
      </c>
      <c r="J22" t="s">
        <v>76</v>
      </c>
    </row>
    <row r="23" spans="4:10" x14ac:dyDescent="0.25">
      <c r="D23" t="s">
        <v>76</v>
      </c>
      <c r="G23" t="s">
        <v>76</v>
      </c>
      <c r="J23" t="s">
        <v>76</v>
      </c>
    </row>
    <row r="24" spans="4:10" x14ac:dyDescent="0.25">
      <c r="D24" t="s">
        <v>76</v>
      </c>
      <c r="G24" t="s">
        <v>76</v>
      </c>
      <c r="J24" t="s">
        <v>76</v>
      </c>
    </row>
    <row r="25" spans="4:10" x14ac:dyDescent="0.25">
      <c r="D25" t="s">
        <v>76</v>
      </c>
      <c r="G25" t="s">
        <v>76</v>
      </c>
      <c r="J25" t="s">
        <v>76</v>
      </c>
    </row>
    <row r="26" spans="4:10" x14ac:dyDescent="0.25">
      <c r="D26" t="s">
        <v>76</v>
      </c>
      <c r="G26" t="s">
        <v>76</v>
      </c>
      <c r="J26" t="s">
        <v>76</v>
      </c>
    </row>
    <row r="27" spans="4:10" x14ac:dyDescent="0.25">
      <c r="D27" t="s">
        <v>76</v>
      </c>
      <c r="G27" t="s">
        <v>76</v>
      </c>
      <c r="J27" t="s">
        <v>76</v>
      </c>
    </row>
    <row r="28" spans="4:10" x14ac:dyDescent="0.25">
      <c r="D28" t="s">
        <v>76</v>
      </c>
      <c r="G28" t="s">
        <v>76</v>
      </c>
      <c r="J28" t="s">
        <v>76</v>
      </c>
    </row>
    <row r="29" spans="4:10" x14ac:dyDescent="0.25">
      <c r="D29" t="s">
        <v>76</v>
      </c>
      <c r="G29" t="s">
        <v>76</v>
      </c>
      <c r="J29" t="s">
        <v>76</v>
      </c>
    </row>
    <row r="30" spans="4:10" x14ac:dyDescent="0.25">
      <c r="D30" t="s">
        <v>76</v>
      </c>
      <c r="G30" t="s">
        <v>76</v>
      </c>
      <c r="J30" t="s">
        <v>76</v>
      </c>
    </row>
    <row r="31" spans="4:10" x14ac:dyDescent="0.25">
      <c r="D31" t="s">
        <v>76</v>
      </c>
      <c r="G31" t="s">
        <v>76</v>
      </c>
      <c r="J31" t="s">
        <v>76</v>
      </c>
    </row>
    <row r="32" spans="4:10" x14ac:dyDescent="0.25">
      <c r="D32" t="s">
        <v>76</v>
      </c>
      <c r="G32" t="s">
        <v>76</v>
      </c>
      <c r="J32" t="s">
        <v>76</v>
      </c>
    </row>
    <row r="33" spans="4:10" x14ac:dyDescent="0.25">
      <c r="D33" t="s">
        <v>76</v>
      </c>
      <c r="G33" t="s">
        <v>76</v>
      </c>
      <c r="J33" t="s">
        <v>76</v>
      </c>
    </row>
    <row r="34" spans="4:10" x14ac:dyDescent="0.25">
      <c r="D34" t="s">
        <v>76</v>
      </c>
      <c r="G34" t="s">
        <v>76</v>
      </c>
      <c r="J34" t="s">
        <v>76</v>
      </c>
    </row>
    <row r="35" spans="4:10" x14ac:dyDescent="0.25">
      <c r="D35" t="s">
        <v>76</v>
      </c>
      <c r="G35" t="s">
        <v>76</v>
      </c>
      <c r="J35" t="s">
        <v>76</v>
      </c>
    </row>
    <row r="36" spans="4:10" x14ac:dyDescent="0.25">
      <c r="D36" t="s">
        <v>76</v>
      </c>
      <c r="G36" t="s">
        <v>76</v>
      </c>
      <c r="J36" t="s">
        <v>76</v>
      </c>
    </row>
    <row r="37" spans="4:10" x14ac:dyDescent="0.25">
      <c r="D37" t="s">
        <v>76</v>
      </c>
      <c r="G37" t="s">
        <v>76</v>
      </c>
      <c r="J37" t="s">
        <v>76</v>
      </c>
    </row>
    <row r="38" spans="4:10" x14ac:dyDescent="0.25">
      <c r="D38" t="s">
        <v>76</v>
      </c>
      <c r="G38" t="s">
        <v>76</v>
      </c>
      <c r="J38" t="s">
        <v>76</v>
      </c>
    </row>
    <row r="39" spans="4:10" x14ac:dyDescent="0.25">
      <c r="D39" t="s">
        <v>76</v>
      </c>
      <c r="G39" t="s">
        <v>76</v>
      </c>
      <c r="J39" t="s">
        <v>76</v>
      </c>
    </row>
    <row r="40" spans="4:10" x14ac:dyDescent="0.25">
      <c r="D40" t="s">
        <v>76</v>
      </c>
      <c r="G40" t="s">
        <v>76</v>
      </c>
      <c r="J40" t="s">
        <v>76</v>
      </c>
    </row>
    <row r="41" spans="4:10" x14ac:dyDescent="0.25">
      <c r="D41" t="s">
        <v>76</v>
      </c>
      <c r="G41" t="s">
        <v>76</v>
      </c>
      <c r="J41" t="s">
        <v>76</v>
      </c>
    </row>
    <row r="42" spans="4:10" x14ac:dyDescent="0.25">
      <c r="D42" t="s">
        <v>76</v>
      </c>
      <c r="G42" t="s">
        <v>76</v>
      </c>
      <c r="J42" t="s">
        <v>76</v>
      </c>
    </row>
    <row r="43" spans="4:10" x14ac:dyDescent="0.25">
      <c r="D43" t="s">
        <v>76</v>
      </c>
      <c r="G43" t="s">
        <v>76</v>
      </c>
      <c r="J43" t="s">
        <v>76</v>
      </c>
    </row>
    <row r="44" spans="4:10" x14ac:dyDescent="0.25">
      <c r="D44" t="s">
        <v>76</v>
      </c>
      <c r="G44" t="s">
        <v>76</v>
      </c>
      <c r="J44" t="s">
        <v>76</v>
      </c>
    </row>
    <row r="45" spans="4:10" x14ac:dyDescent="0.25">
      <c r="D45" t="s">
        <v>76</v>
      </c>
      <c r="G45" t="s">
        <v>76</v>
      </c>
      <c r="J45" t="s">
        <v>76</v>
      </c>
    </row>
    <row r="46" spans="4:10" x14ac:dyDescent="0.25">
      <c r="D46" t="s">
        <v>76</v>
      </c>
      <c r="G46" t="s">
        <v>76</v>
      </c>
      <c r="J46" t="s">
        <v>76</v>
      </c>
    </row>
    <row r="47" spans="4:10" x14ac:dyDescent="0.25">
      <c r="D47" t="s">
        <v>76</v>
      </c>
      <c r="G47" t="s">
        <v>76</v>
      </c>
      <c r="J47" t="s">
        <v>76</v>
      </c>
    </row>
    <row r="48" spans="4:10" x14ac:dyDescent="0.25">
      <c r="D48" t="s">
        <v>76</v>
      </c>
      <c r="G48" t="s">
        <v>76</v>
      </c>
      <c r="J48" t="s">
        <v>76</v>
      </c>
    </row>
    <row r="49" spans="4:10" x14ac:dyDescent="0.25">
      <c r="D49" t="s">
        <v>76</v>
      </c>
      <c r="G49" t="s">
        <v>76</v>
      </c>
      <c r="J49" t="s">
        <v>76</v>
      </c>
    </row>
    <row r="50" spans="4:10" x14ac:dyDescent="0.25">
      <c r="D50" t="s">
        <v>76</v>
      </c>
      <c r="G50" t="s">
        <v>76</v>
      </c>
      <c r="J50" t="s">
        <v>76</v>
      </c>
    </row>
    <row r="51" spans="4:10" x14ac:dyDescent="0.25">
      <c r="D51" t="s">
        <v>76</v>
      </c>
      <c r="G51" t="s">
        <v>76</v>
      </c>
      <c r="J51" t="s">
        <v>76</v>
      </c>
    </row>
    <row r="52" spans="4:10" x14ac:dyDescent="0.25">
      <c r="D52" t="s">
        <v>76</v>
      </c>
      <c r="G52" t="s">
        <v>76</v>
      </c>
      <c r="J52" t="s">
        <v>76</v>
      </c>
    </row>
    <row r="53" spans="4:10" x14ac:dyDescent="0.25">
      <c r="D53" t="s">
        <v>76</v>
      </c>
      <c r="G53" t="s">
        <v>76</v>
      </c>
      <c r="J53" t="s">
        <v>76</v>
      </c>
    </row>
    <row r="54" spans="4:10" x14ac:dyDescent="0.25">
      <c r="D54" t="s">
        <v>76</v>
      </c>
      <c r="G54" t="s">
        <v>76</v>
      </c>
      <c r="J54" t="s">
        <v>76</v>
      </c>
    </row>
    <row r="55" spans="4:10" x14ac:dyDescent="0.25">
      <c r="D55" t="s">
        <v>76</v>
      </c>
      <c r="G55" t="s">
        <v>76</v>
      </c>
      <c r="J55" t="s">
        <v>76</v>
      </c>
    </row>
    <row r="56" spans="4:10" x14ac:dyDescent="0.25">
      <c r="D56" t="s">
        <v>76</v>
      </c>
      <c r="G56" t="s">
        <v>76</v>
      </c>
      <c r="J56" t="s">
        <v>76</v>
      </c>
    </row>
    <row r="57" spans="4:10" x14ac:dyDescent="0.25">
      <c r="D57" t="s">
        <v>76</v>
      </c>
      <c r="G57" t="s">
        <v>76</v>
      </c>
      <c r="J57" t="s">
        <v>76</v>
      </c>
    </row>
    <row r="58" spans="4:10" x14ac:dyDescent="0.25">
      <c r="D58" t="s">
        <v>76</v>
      </c>
      <c r="G58" t="s">
        <v>76</v>
      </c>
      <c r="J58" t="s">
        <v>76</v>
      </c>
    </row>
    <row r="59" spans="4:10" x14ac:dyDescent="0.25">
      <c r="D59" t="s">
        <v>76</v>
      </c>
      <c r="G59" t="s">
        <v>76</v>
      </c>
      <c r="J59" t="s">
        <v>76</v>
      </c>
    </row>
    <row r="60" spans="4:10" hidden="1" x14ac:dyDescent="0.25"/>
    <row r="61" spans="4:10" hidden="1" x14ac:dyDescent="0.25"/>
    <row r="62" spans="4:10" hidden="1" x14ac:dyDescent="0.25"/>
    <row r="63" spans="4:10" hidden="1" x14ac:dyDescent="0.25"/>
    <row r="64" spans="4:10" hidden="1" x14ac:dyDescent="0.25"/>
    <row r="65" hidden="1" x14ac:dyDescent="0.25"/>
  </sheetData>
  <sheetProtection algorithmName="SHA-512" hashValue="bPm6GVaXny5jDdjsCC07X6JWYRya/NS6oeQDFqeBv+ZNJ81l1KXS4CefR24fBL+12sBZdSXh3ElJ/qPhz9l+Tg==" saltValue="0blIL0WSxWMTVKIcANPoJg==" spinCount="100000" sheet="1" objects="1" scenarios="1" selectLockedCells="1" sort="0" autoFilter="0"/>
  <mergeCells count="28">
    <mergeCell ref="D14:D15"/>
    <mergeCell ref="G14:G15"/>
    <mergeCell ref="J14:J15"/>
    <mergeCell ref="A14:A15"/>
    <mergeCell ref="G8:G9"/>
    <mergeCell ref="G10:G11"/>
    <mergeCell ref="G12:G13"/>
    <mergeCell ref="J4:J5"/>
    <mergeCell ref="J6:J7"/>
    <mergeCell ref="J8:J9"/>
    <mergeCell ref="J10:J11"/>
    <mergeCell ref="J12:J13"/>
    <mergeCell ref="A1:J1"/>
    <mergeCell ref="B2:D2"/>
    <mergeCell ref="E2:G2"/>
    <mergeCell ref="H2:J2"/>
    <mergeCell ref="A12:A13"/>
    <mergeCell ref="A10:A11"/>
    <mergeCell ref="A8:A9"/>
    <mergeCell ref="A6:A7"/>
    <mergeCell ref="A4:A5"/>
    <mergeCell ref="D12:D13"/>
    <mergeCell ref="D10:D11"/>
    <mergeCell ref="D8:D9"/>
    <mergeCell ref="D6:D7"/>
    <mergeCell ref="D4:D5"/>
    <mergeCell ref="G4:G5"/>
    <mergeCell ref="G6:G7"/>
  </mergeCells>
  <conditionalFormatting sqref="B4:J15">
    <cfRule type="containsBlanks" dxfId="57" priority="6">
      <formula>LEN(TRIM(B4))=0</formula>
    </cfRule>
  </conditionalFormatting>
  <conditionalFormatting sqref="B12:I15">
    <cfRule type="expression" dxfId="56" priority="1">
      <formula>IFERROR(INDIRECT("A"&amp;SUM(ODD(ROW())-1))="", TRUE)</formula>
    </cfRule>
  </conditionalFormatting>
  <conditionalFormatting sqref="A12:J15">
    <cfRule type="expression" dxfId="55" priority="5">
      <formula>NOT(IFERROR(INDIRECT("A"&amp;SUM(ODD(ROW())-1))="", TRUE))</formula>
    </cfRule>
  </conditionalFormatting>
  <conditionalFormatting sqref="A12:A15">
    <cfRule type="expression" dxfId="54" priority="3">
      <formula>IFERROR(INDIRECT("A"&amp;SUM(ODD(ROW())-1))="", TRUE)</formula>
    </cfRule>
  </conditionalFormatting>
  <conditionalFormatting sqref="J12:J15">
    <cfRule type="expression" dxfId="53" priority="2">
      <formula>IFERROR(INDIRECT("A"&amp;SUM(ODD(ROW())-1))="", TRUE)</formula>
    </cfRule>
  </conditionalFormatting>
  <dataValidations count="6">
    <dataValidation type="list" allowBlank="1" showInputMessage="1" showErrorMessage="1" errorTitle="Input Error" error="Please use the drop down box to select your rank." sqref="B4 B6 B8 B10 B12 B14">
      <formula1>DepDD_S3_DP01</formula1>
    </dataValidation>
    <dataValidation type="list" allowBlank="1" showInputMessage="1" showErrorMessage="1" errorTitle="Input Error" error="Please use the drop down box to select your rank." sqref="E4 E6 E8 E10 E12 E14">
      <formula1>DepDD_S3_DP02</formula1>
    </dataValidation>
    <dataValidation type="list" allowBlank="1" showInputMessage="1" showErrorMessage="1" errorTitle="Input Error" error="Please use the drop down box to select your company." sqref="D4:D15 G4:G15 J4:J15">
      <formula1>CompanyAbrv</formula1>
    </dataValidation>
    <dataValidation type="custom" allowBlank="1" showInputMessage="1" showErrorMessage="1" errorTitle="Input Error" error="Please only use numbers. Do not use spaces, parentheses, or hyphens." sqref="C5 F5 I5 I7 F7 C7 C9 F9 I9 I11 F11 C11 C13 F13 I13 I15 F15 C15">
      <formula1>ISNUMBER(CELL("contents",INDIRECT(ADDRESS(ROW(),COLUMN()))))</formula1>
    </dataValidation>
    <dataValidation type="custom" allowBlank="1" showInputMessage="1" showErrorMessage="1" errorTitle="Input Error" error="Please only use letters, spaces, commas, and periods." sqref="C4 C6 C8 C10 C12 C14 F4 F6 F8 F10 F12 F14 I4 I6 I8 I10 I12 I14">
      <formula1>ISTEXT(CELL("contents",INDIRECT(ADDRESS(ROW(),COLUMN()))))</formula1>
    </dataValidation>
    <dataValidation type="list" allowBlank="1" showInputMessage="1" showErrorMessage="1" errorTitle="Input Error" error="Please use the drop down box to select your rank." sqref="H14 H12 H10 H8 H6 H4">
      <formula1>DepDD_S3_DP03</formula1>
    </dataValidation>
  </dataValidations>
  <pageMargins left="0.7" right="0.7" top="0.75" bottom="0.75" header="0.3" footer="0.3"/>
  <pageSetup scale="65" orientation="portrait" r:id="rId1"/>
  <extLst>
    <ext xmlns:x14="http://schemas.microsoft.com/office/spreadsheetml/2009/9/main" uri="{78C0D931-6437-407d-A8EE-F0AAD7539E65}">
      <x14:conditionalFormattings>
        <x14:conditionalFormatting xmlns:xm="http://schemas.microsoft.com/office/excel/2006/main">
          <x14:cfRule type="containsText" priority="7" operator="containsText" id="{C7C057E5-5534-4615-9022-ECD2A6484870}">
            <xm:f>NOT(ISERROR(SEARCH(DevMode!$I$12,Sheet2!D4)))</xm:f>
            <xm:f>DevMode!$I$12</xm:f>
            <x14:dxf>
              <font>
                <color theme="1"/>
              </font>
              <fill>
                <patternFill>
                  <bgColor theme="4"/>
                </patternFill>
              </fill>
            </x14:dxf>
          </x14:cfRule>
          <x14:cfRule type="containsText" priority="8" operator="containsText" id="{CCA6FE55-475A-4DD5-8D1E-E77F40177FED}">
            <xm:f>NOT(ISERROR(SEARCH(DevMode!$I$13,Sheet2!D4)))</xm:f>
            <xm:f>DevMode!$I$13</xm:f>
            <x14:dxf>
              <font>
                <color theme="1"/>
              </font>
              <fill>
                <patternFill>
                  <bgColor theme="7"/>
                </patternFill>
              </fill>
            </x14:dxf>
          </x14:cfRule>
          <x14:cfRule type="containsText" priority="9" operator="containsText" id="{5AEAC20A-D141-4D1B-BEEA-775AA4578EB7}">
            <xm:f>NOT(ISERROR(SEARCH(DevMode!$I$18,Sheet2!D4)))</xm:f>
            <xm:f>DevMode!$I$18</xm:f>
            <x14:dxf>
              <font>
                <color theme="1"/>
              </font>
              <fill>
                <patternFill>
                  <bgColor theme="3"/>
                </patternFill>
              </fill>
            </x14:dxf>
          </x14:cfRule>
          <x14:cfRule type="containsText" priority="10" operator="containsText" id="{C695E699-76B0-4C10-A86D-A280986A30C3}">
            <xm:f>NOT(ISERROR(SEARCH(DevMode!$I$14,Sheet2!D4)))</xm:f>
            <xm:f>DevMode!$I$14</xm:f>
            <x14:dxf>
              <font>
                <color theme="1"/>
              </font>
              <fill>
                <patternFill>
                  <bgColor theme="9"/>
                </patternFill>
              </fill>
            </x14:dxf>
          </x14:cfRule>
          <x14:cfRule type="containsText" priority="12" operator="containsText" id="{6A571A0A-40CF-4473-9652-98C5B9CB32AB}">
            <xm:f>NOT(ISERROR(SEARCH(DevMode!$I$15,Sheet2!D4)))</xm:f>
            <xm:f>DevMode!$I$15</xm:f>
            <x14:dxf>
              <font>
                <color theme="1"/>
              </font>
              <fill>
                <patternFill>
                  <bgColor rgb="FF7030A0"/>
                </patternFill>
              </fill>
            </x14:dxf>
          </x14:cfRule>
          <x14:cfRule type="containsText" priority="29" operator="containsText" id="{CA278EE3-F07B-4503-8994-5A6A27D59957}">
            <xm:f>NOT(ISERROR(SEARCH(DevMode!$I$16,Sheet2!D4)))</xm:f>
            <xm:f>DevMode!$I$16</xm:f>
            <x14:dxf>
              <font>
                <color theme="0"/>
              </font>
              <fill>
                <patternFill>
                  <bgColor theme="1"/>
                </patternFill>
              </fill>
            </x14:dxf>
          </x14:cfRule>
          <x14:cfRule type="containsText" priority="38" operator="containsText" id="{13F8F694-58AD-4766-B865-D81A3ACAB543}">
            <xm:f>NOT(ISERROR(SEARCH(DevMode!$I$17,Sheet2!D4)))</xm:f>
            <xm:f>DevMode!$I$17</xm:f>
            <x14:dxf>
              <font>
                <color theme="1"/>
              </font>
              <fill>
                <patternFill>
                  <bgColor rgb="FFFF0000"/>
                </patternFill>
              </fill>
            </x14:dxf>
          </x14:cfRule>
          <xm:sqref>J4:J15 G4:G15 D4:D15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S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1" max="11" width="10" customWidth="1"/>
    <col min="12" max="12" width="27.140625" customWidth="1"/>
    <col min="13" max="13" width="5.7109375" customWidth="1"/>
    <col min="14" max="14" width="10" customWidth="1"/>
    <col min="15" max="15" width="27.140625" customWidth="1"/>
    <col min="16" max="16" width="5.7109375" customWidth="1"/>
    <col min="17" max="17" width="10" customWidth="1"/>
    <col min="18" max="18" width="27.140625" customWidth="1"/>
    <col min="19" max="19" width="5.7109375" customWidth="1"/>
  </cols>
  <sheetData>
    <row r="1" spans="1:19" ht="18.75" customHeight="1" thickBot="1" x14ac:dyDescent="0.3">
      <c r="A1" s="373" t="str">
        <f>DevMode!B36</f>
        <v>8th Communication Battalion FC-370 Duty Roster</v>
      </c>
      <c r="B1" s="374"/>
      <c r="C1" s="374"/>
      <c r="D1" s="374"/>
      <c r="E1" s="374"/>
      <c r="F1" s="374"/>
      <c r="G1" s="374"/>
      <c r="H1" s="374"/>
      <c r="I1" s="374"/>
      <c r="J1" s="374"/>
      <c r="K1" s="374"/>
      <c r="L1" s="374"/>
      <c r="M1" s="374"/>
      <c r="N1" s="374"/>
      <c r="O1" s="374"/>
      <c r="P1" s="374"/>
      <c r="Q1" s="374"/>
      <c r="R1" s="374"/>
      <c r="S1" s="375"/>
    </row>
    <row r="2" spans="1:19" ht="12.75" customHeight="1" x14ac:dyDescent="0.25">
      <c r="A2" s="11" t="str">
        <f>TEXT(MASTER!B2&amp;" "&amp;MASTER!D2, "mmm-yy")</f>
        <v xml:space="preserve"> </v>
      </c>
      <c r="B2" s="358" t="str">
        <f>IF(DevMode!B37="","Unused",DevMode!B37)</f>
        <v>DNCO</v>
      </c>
      <c r="C2" s="359"/>
      <c r="D2" s="360"/>
      <c r="E2" s="358" t="str">
        <f>IF(DevMode!B39="","Unused",DevMode!B39)</f>
        <v>ADNCO</v>
      </c>
      <c r="F2" s="359"/>
      <c r="G2" s="361"/>
      <c r="H2" s="358" t="str">
        <f>IF(DevMode!B41="","Unused",DevMode!B41)</f>
        <v>FC 371 #1 (2100-0130)</v>
      </c>
      <c r="I2" s="359"/>
      <c r="J2" s="361"/>
      <c r="K2" s="358" t="str">
        <f>IF(DevMode!B43="","Unused",DevMode!B43)</f>
        <v>FC 371 #2 (0130-0600)</v>
      </c>
      <c r="L2" s="359"/>
      <c r="M2" s="361"/>
      <c r="N2" s="358" t="str">
        <f>IF(DevMode!B45="","Unused",DevMode!B45)</f>
        <v>FC 372 #1 (2100-0130)</v>
      </c>
      <c r="O2" s="359"/>
      <c r="P2" s="361"/>
      <c r="Q2" s="358" t="str">
        <f>IF(DevMode!B47="","Unused",DevMode!B47)</f>
        <v>FC 372 #2 (0130-0600)</v>
      </c>
      <c r="R2" s="359"/>
      <c r="S2" s="361"/>
    </row>
    <row r="3" spans="1:19" ht="12.75" customHeight="1" thickBot="1" x14ac:dyDescent="0.3">
      <c r="A3" s="10" t="s">
        <v>10</v>
      </c>
      <c r="B3" s="18" t="s">
        <v>11</v>
      </c>
      <c r="C3" s="19" t="s">
        <v>14</v>
      </c>
      <c r="D3" s="20" t="s">
        <v>15</v>
      </c>
      <c r="E3" s="18" t="s">
        <v>11</v>
      </c>
      <c r="F3" s="19" t="s">
        <v>14</v>
      </c>
      <c r="G3" s="21" t="s">
        <v>15</v>
      </c>
      <c r="H3" s="18" t="s">
        <v>11</v>
      </c>
      <c r="I3" s="19" t="s">
        <v>14</v>
      </c>
      <c r="J3" s="21" t="s">
        <v>15</v>
      </c>
      <c r="K3" s="18" t="s">
        <v>11</v>
      </c>
      <c r="L3" s="19" t="s">
        <v>14</v>
      </c>
      <c r="M3" s="21" t="s">
        <v>15</v>
      </c>
      <c r="N3" s="18" t="s">
        <v>11</v>
      </c>
      <c r="O3" s="19" t="s">
        <v>14</v>
      </c>
      <c r="P3" s="21" t="s">
        <v>15</v>
      </c>
      <c r="Q3" s="18" t="s">
        <v>11</v>
      </c>
      <c r="R3" s="19" t="s">
        <v>14</v>
      </c>
      <c r="S3" s="21" t="s">
        <v>15</v>
      </c>
    </row>
    <row r="4" spans="1:19" ht="12.75" customHeight="1" x14ac:dyDescent="0.25">
      <c r="A4" s="378" t="str">
        <f>IFERROR(VALUE(MASTER!B2&amp;" "&amp;"1, "&amp;MASTER!D2),"")</f>
        <v/>
      </c>
      <c r="B4" s="30" t="s">
        <v>76</v>
      </c>
      <c r="C4" s="221"/>
      <c r="D4" s="363" t="s">
        <v>76</v>
      </c>
      <c r="E4" s="30" t="s">
        <v>76</v>
      </c>
      <c r="F4" s="221"/>
      <c r="G4" s="379" t="s">
        <v>76</v>
      </c>
      <c r="H4" s="30" t="s">
        <v>76</v>
      </c>
      <c r="I4" s="221"/>
      <c r="J4" s="379" t="s">
        <v>76</v>
      </c>
      <c r="K4" s="30" t="s">
        <v>76</v>
      </c>
      <c r="L4" s="221"/>
      <c r="M4" s="379" t="s">
        <v>76</v>
      </c>
      <c r="N4" s="30" t="s">
        <v>76</v>
      </c>
      <c r="O4" s="221"/>
      <c r="P4" s="379" t="s">
        <v>76</v>
      </c>
      <c r="Q4" s="30" t="s">
        <v>76</v>
      </c>
      <c r="R4" s="221"/>
      <c r="S4" s="379" t="s">
        <v>76</v>
      </c>
    </row>
    <row r="5" spans="1:19" ht="12.75" customHeight="1" x14ac:dyDescent="0.25">
      <c r="A5" s="364"/>
      <c r="B5" s="22" t="s">
        <v>12</v>
      </c>
      <c r="C5" s="26"/>
      <c r="D5" s="354"/>
      <c r="E5" s="22" t="s">
        <v>12</v>
      </c>
      <c r="F5" s="26"/>
      <c r="G5" s="366"/>
      <c r="H5" s="22" t="s">
        <v>12</v>
      </c>
      <c r="I5" s="26"/>
      <c r="J5" s="366"/>
      <c r="K5" s="22" t="s">
        <v>12</v>
      </c>
      <c r="L5" s="26"/>
      <c r="M5" s="366"/>
      <c r="N5" s="22" t="s">
        <v>12</v>
      </c>
      <c r="O5" s="26"/>
      <c r="P5" s="366"/>
      <c r="Q5" s="22" t="s">
        <v>12</v>
      </c>
      <c r="R5" s="26"/>
      <c r="S5" s="366"/>
    </row>
    <row r="6" spans="1:19" ht="12.75" customHeight="1" x14ac:dyDescent="0.25">
      <c r="A6" s="376" t="str">
        <f>IFERROR(IF(MONTH(A4+1)&lt;&gt;MONTH(A4), "", A4+1),"")</f>
        <v/>
      </c>
      <c r="B6" s="28" t="s">
        <v>76</v>
      </c>
      <c r="C6" s="222"/>
      <c r="D6" s="354" t="s">
        <v>76</v>
      </c>
      <c r="E6" s="28" t="s">
        <v>76</v>
      </c>
      <c r="F6" s="222"/>
      <c r="G6" s="377" t="s">
        <v>76</v>
      </c>
      <c r="H6" s="28" t="s">
        <v>76</v>
      </c>
      <c r="I6" s="222"/>
      <c r="J6" s="377" t="s">
        <v>76</v>
      </c>
      <c r="K6" s="28" t="s">
        <v>76</v>
      </c>
      <c r="L6" s="222"/>
      <c r="M6" s="377" t="s">
        <v>76</v>
      </c>
      <c r="N6" s="28" t="s">
        <v>76</v>
      </c>
      <c r="O6" s="222"/>
      <c r="P6" s="377" t="s">
        <v>76</v>
      </c>
      <c r="Q6" s="28" t="s">
        <v>76</v>
      </c>
      <c r="R6" s="222"/>
      <c r="S6" s="377" t="s">
        <v>76</v>
      </c>
    </row>
    <row r="7" spans="1:19" ht="12.75" customHeight="1" x14ac:dyDescent="0.25">
      <c r="A7" s="364"/>
      <c r="B7" s="22" t="s">
        <v>12</v>
      </c>
      <c r="C7" s="26"/>
      <c r="D7" s="354"/>
      <c r="E7" s="22" t="s">
        <v>12</v>
      </c>
      <c r="F7" s="26"/>
      <c r="G7" s="366"/>
      <c r="H7" s="22" t="s">
        <v>12</v>
      </c>
      <c r="I7" s="26"/>
      <c r="J7" s="366"/>
      <c r="K7" s="22" t="s">
        <v>12</v>
      </c>
      <c r="L7" s="26"/>
      <c r="M7" s="366"/>
      <c r="N7" s="22" t="s">
        <v>12</v>
      </c>
      <c r="O7" s="26"/>
      <c r="P7" s="366"/>
      <c r="Q7" s="22" t="s">
        <v>12</v>
      </c>
      <c r="R7" s="26"/>
      <c r="S7" s="366"/>
    </row>
    <row r="8" spans="1:19" ht="12.75" customHeight="1" x14ac:dyDescent="0.25">
      <c r="A8" s="376" t="str">
        <f>IFERROR(IF(MONTH(A6+1)&lt;&gt;MONTH(A6), "", A6+1),"")</f>
        <v/>
      </c>
      <c r="B8" s="28" t="s">
        <v>76</v>
      </c>
      <c r="C8" s="222"/>
      <c r="D8" s="354" t="s">
        <v>76</v>
      </c>
      <c r="E8" s="28" t="s">
        <v>76</v>
      </c>
      <c r="F8" s="222"/>
      <c r="G8" s="377" t="s">
        <v>76</v>
      </c>
      <c r="H8" s="28" t="s">
        <v>76</v>
      </c>
      <c r="I8" s="222"/>
      <c r="J8" s="377" t="s">
        <v>76</v>
      </c>
      <c r="K8" s="28" t="s">
        <v>76</v>
      </c>
      <c r="L8" s="222"/>
      <c r="M8" s="377" t="s">
        <v>76</v>
      </c>
      <c r="N8" s="28" t="s">
        <v>76</v>
      </c>
      <c r="O8" s="222"/>
      <c r="P8" s="377" t="s">
        <v>76</v>
      </c>
      <c r="Q8" s="28" t="s">
        <v>76</v>
      </c>
      <c r="R8" s="222"/>
      <c r="S8" s="377" t="s">
        <v>76</v>
      </c>
    </row>
    <row r="9" spans="1:19" ht="12.75" customHeight="1" x14ac:dyDescent="0.25">
      <c r="A9" s="364"/>
      <c r="B9" s="22" t="s">
        <v>12</v>
      </c>
      <c r="C9" s="26"/>
      <c r="D9" s="354"/>
      <c r="E9" s="22" t="s">
        <v>12</v>
      </c>
      <c r="F9" s="26"/>
      <c r="G9" s="366"/>
      <c r="H9" s="22" t="s">
        <v>12</v>
      </c>
      <c r="I9" s="26"/>
      <c r="J9" s="366"/>
      <c r="K9" s="22" t="s">
        <v>12</v>
      </c>
      <c r="L9" s="26"/>
      <c r="M9" s="366"/>
      <c r="N9" s="22" t="s">
        <v>12</v>
      </c>
      <c r="O9" s="26"/>
      <c r="P9" s="366"/>
      <c r="Q9" s="22" t="s">
        <v>12</v>
      </c>
      <c r="R9" s="26"/>
      <c r="S9" s="366"/>
    </row>
    <row r="10" spans="1:19" ht="12.75" customHeight="1" x14ac:dyDescent="0.25">
      <c r="A10" s="376" t="str">
        <f>IFERROR(IF(MONTH(A8+1)&lt;&gt;MONTH(A8), "", A8+1),"")</f>
        <v/>
      </c>
      <c r="B10" s="28" t="s">
        <v>76</v>
      </c>
      <c r="C10" s="222"/>
      <c r="D10" s="354" t="s">
        <v>76</v>
      </c>
      <c r="E10" s="28" t="s">
        <v>76</v>
      </c>
      <c r="F10" s="222"/>
      <c r="G10" s="377" t="s">
        <v>76</v>
      </c>
      <c r="H10" s="28" t="s">
        <v>76</v>
      </c>
      <c r="I10" s="222"/>
      <c r="J10" s="377" t="s">
        <v>76</v>
      </c>
      <c r="K10" s="28" t="s">
        <v>76</v>
      </c>
      <c r="L10" s="222"/>
      <c r="M10" s="377" t="s">
        <v>76</v>
      </c>
      <c r="N10" s="28" t="s">
        <v>76</v>
      </c>
      <c r="O10" s="222"/>
      <c r="P10" s="377" t="s">
        <v>76</v>
      </c>
      <c r="Q10" s="28" t="s">
        <v>76</v>
      </c>
      <c r="R10" s="222"/>
      <c r="S10" s="377" t="s">
        <v>76</v>
      </c>
    </row>
    <row r="11" spans="1:19" ht="12.75" customHeight="1" x14ac:dyDescent="0.25">
      <c r="A11" s="364"/>
      <c r="B11" s="22" t="s">
        <v>12</v>
      </c>
      <c r="C11" s="26"/>
      <c r="D11" s="354"/>
      <c r="E11" s="22" t="s">
        <v>12</v>
      </c>
      <c r="F11" s="26"/>
      <c r="G11" s="366"/>
      <c r="H11" s="22" t="s">
        <v>12</v>
      </c>
      <c r="I11" s="26"/>
      <c r="J11" s="366"/>
      <c r="K11" s="22" t="s">
        <v>12</v>
      </c>
      <c r="L11" s="26"/>
      <c r="M11" s="366"/>
      <c r="N11" s="22" t="s">
        <v>12</v>
      </c>
      <c r="O11" s="26"/>
      <c r="P11" s="366"/>
      <c r="Q11" s="22" t="s">
        <v>12</v>
      </c>
      <c r="R11" s="26"/>
      <c r="S11" s="366"/>
    </row>
    <row r="12" spans="1:19" ht="12.75" customHeight="1" x14ac:dyDescent="0.25">
      <c r="A12" s="376" t="str">
        <f>IFERROR(IF(MONTH(A10+1)&lt;&gt;MONTH(A10), "", A10+1),"")</f>
        <v/>
      </c>
      <c r="B12" s="28" t="s">
        <v>76</v>
      </c>
      <c r="C12" s="222"/>
      <c r="D12" s="377" t="s">
        <v>76</v>
      </c>
      <c r="E12" s="28" t="s">
        <v>76</v>
      </c>
      <c r="F12" s="222"/>
      <c r="G12" s="377" t="s">
        <v>76</v>
      </c>
      <c r="H12" s="28" t="s">
        <v>76</v>
      </c>
      <c r="I12" s="222"/>
      <c r="J12" s="377" t="s">
        <v>76</v>
      </c>
      <c r="K12" s="28" t="s">
        <v>76</v>
      </c>
      <c r="L12" s="222"/>
      <c r="M12" s="377" t="s">
        <v>76</v>
      </c>
      <c r="N12" s="28" t="s">
        <v>76</v>
      </c>
      <c r="O12" s="222"/>
      <c r="P12" s="377" t="s">
        <v>76</v>
      </c>
      <c r="Q12" s="28" t="s">
        <v>76</v>
      </c>
      <c r="R12" s="222"/>
      <c r="S12" s="377" t="s">
        <v>76</v>
      </c>
    </row>
    <row r="13" spans="1:19" ht="12.75" customHeight="1" x14ac:dyDescent="0.25">
      <c r="A13" s="364"/>
      <c r="B13" s="22" t="s">
        <v>12</v>
      </c>
      <c r="C13" s="26"/>
      <c r="D13" s="366"/>
      <c r="E13" s="22" t="s">
        <v>12</v>
      </c>
      <c r="F13" s="26"/>
      <c r="G13" s="366"/>
      <c r="H13" s="22" t="s">
        <v>12</v>
      </c>
      <c r="I13" s="26"/>
      <c r="J13" s="366"/>
      <c r="K13" s="22" t="s">
        <v>12</v>
      </c>
      <c r="L13" s="26"/>
      <c r="M13" s="366"/>
      <c r="N13" s="22" t="s">
        <v>12</v>
      </c>
      <c r="O13" s="26"/>
      <c r="P13" s="366"/>
      <c r="Q13" s="22" t="s">
        <v>12</v>
      </c>
      <c r="R13" s="26"/>
      <c r="S13" s="366"/>
    </row>
    <row r="14" spans="1:19" ht="12.75" customHeight="1" x14ac:dyDescent="0.25">
      <c r="A14" s="376" t="str">
        <f>IFERROR(IF(MONTH(A12+1)&lt;&gt;MONTH(A12), "", A12+1),"")</f>
        <v/>
      </c>
      <c r="B14" s="28" t="s">
        <v>76</v>
      </c>
      <c r="C14" s="222"/>
      <c r="D14" s="377" t="s">
        <v>76</v>
      </c>
      <c r="E14" s="28" t="s">
        <v>76</v>
      </c>
      <c r="F14" s="222"/>
      <c r="G14" s="377" t="s">
        <v>76</v>
      </c>
      <c r="H14" s="28" t="s">
        <v>76</v>
      </c>
      <c r="I14" s="222"/>
      <c r="J14" s="377" t="s">
        <v>76</v>
      </c>
      <c r="K14" s="28" t="s">
        <v>76</v>
      </c>
      <c r="L14" s="222"/>
      <c r="M14" s="377" t="s">
        <v>76</v>
      </c>
      <c r="N14" s="28" t="s">
        <v>76</v>
      </c>
      <c r="O14" s="222"/>
      <c r="P14" s="377" t="s">
        <v>76</v>
      </c>
      <c r="Q14" s="28" t="s">
        <v>76</v>
      </c>
      <c r="R14" s="222"/>
      <c r="S14" s="377" t="s">
        <v>76</v>
      </c>
    </row>
    <row r="15" spans="1:19" ht="12.75" customHeight="1" x14ac:dyDescent="0.25">
      <c r="A15" s="364"/>
      <c r="B15" s="22" t="s">
        <v>12</v>
      </c>
      <c r="C15" s="26"/>
      <c r="D15" s="366"/>
      <c r="E15" s="22" t="s">
        <v>12</v>
      </c>
      <c r="F15" s="26"/>
      <c r="G15" s="366"/>
      <c r="H15" s="22" t="s">
        <v>12</v>
      </c>
      <c r="I15" s="26"/>
      <c r="J15" s="366"/>
      <c r="K15" s="22" t="s">
        <v>12</v>
      </c>
      <c r="L15" s="26"/>
      <c r="M15" s="366"/>
      <c r="N15" s="22" t="s">
        <v>12</v>
      </c>
      <c r="O15" s="26"/>
      <c r="P15" s="366"/>
      <c r="Q15" s="22" t="s">
        <v>12</v>
      </c>
      <c r="R15" s="26"/>
      <c r="S15" s="366"/>
    </row>
    <row r="16" spans="1:19" ht="12.75" customHeight="1" x14ac:dyDescent="0.25">
      <c r="A16" s="376" t="str">
        <f>IFERROR(IF(MONTH(A14+1)&lt;&gt;MONTH(A14), "", A14+1),"")</f>
        <v/>
      </c>
      <c r="B16" s="28" t="s">
        <v>76</v>
      </c>
      <c r="C16" s="222"/>
      <c r="D16" s="377" t="s">
        <v>76</v>
      </c>
      <c r="E16" s="28" t="s">
        <v>76</v>
      </c>
      <c r="F16" s="222"/>
      <c r="G16" s="377" t="s">
        <v>76</v>
      </c>
      <c r="H16" s="28" t="s">
        <v>76</v>
      </c>
      <c r="I16" s="222"/>
      <c r="J16" s="377" t="s">
        <v>76</v>
      </c>
      <c r="K16" s="28" t="s">
        <v>76</v>
      </c>
      <c r="L16" s="222"/>
      <c r="M16" s="377" t="s">
        <v>76</v>
      </c>
      <c r="N16" s="28" t="s">
        <v>76</v>
      </c>
      <c r="O16" s="222"/>
      <c r="P16" s="377" t="s">
        <v>76</v>
      </c>
      <c r="Q16" s="28" t="s">
        <v>76</v>
      </c>
      <c r="R16" s="222"/>
      <c r="S16" s="377" t="s">
        <v>76</v>
      </c>
    </row>
    <row r="17" spans="1:19" ht="12.75" customHeight="1" x14ac:dyDescent="0.25">
      <c r="A17" s="364"/>
      <c r="B17" s="22" t="s">
        <v>12</v>
      </c>
      <c r="C17" s="26"/>
      <c r="D17" s="366"/>
      <c r="E17" s="22" t="s">
        <v>12</v>
      </c>
      <c r="F17" s="26"/>
      <c r="G17" s="366"/>
      <c r="H17" s="22" t="s">
        <v>12</v>
      </c>
      <c r="I17" s="26"/>
      <c r="J17" s="366"/>
      <c r="K17" s="22" t="s">
        <v>12</v>
      </c>
      <c r="L17" s="26"/>
      <c r="M17" s="366"/>
      <c r="N17" s="22" t="s">
        <v>12</v>
      </c>
      <c r="O17" s="26"/>
      <c r="P17" s="366"/>
      <c r="Q17" s="22" t="s">
        <v>12</v>
      </c>
      <c r="R17" s="26"/>
      <c r="S17" s="366"/>
    </row>
    <row r="18" spans="1:19" ht="12.75" customHeight="1" x14ac:dyDescent="0.25">
      <c r="A18" s="376" t="str">
        <f>IFERROR(IF(MONTH(A16+1)&lt;&gt;MONTH(A16), "", A16+1),"")</f>
        <v/>
      </c>
      <c r="B18" s="28" t="s">
        <v>76</v>
      </c>
      <c r="C18" s="222"/>
      <c r="D18" s="377" t="s">
        <v>76</v>
      </c>
      <c r="E18" s="28" t="s">
        <v>76</v>
      </c>
      <c r="F18" s="222"/>
      <c r="G18" s="377" t="s">
        <v>76</v>
      </c>
      <c r="H18" s="28" t="s">
        <v>76</v>
      </c>
      <c r="I18" s="222"/>
      <c r="J18" s="377" t="s">
        <v>76</v>
      </c>
      <c r="K18" s="28" t="s">
        <v>76</v>
      </c>
      <c r="L18" s="222"/>
      <c r="M18" s="377" t="s">
        <v>76</v>
      </c>
      <c r="N18" s="28" t="s">
        <v>76</v>
      </c>
      <c r="O18" s="222"/>
      <c r="P18" s="377" t="s">
        <v>76</v>
      </c>
      <c r="Q18" s="28" t="s">
        <v>76</v>
      </c>
      <c r="R18" s="222"/>
      <c r="S18" s="377" t="s">
        <v>76</v>
      </c>
    </row>
    <row r="19" spans="1:19" ht="12.75" customHeight="1" x14ac:dyDescent="0.25">
      <c r="A19" s="364"/>
      <c r="B19" s="22" t="s">
        <v>12</v>
      </c>
      <c r="C19" s="26"/>
      <c r="D19" s="366"/>
      <c r="E19" s="22" t="s">
        <v>12</v>
      </c>
      <c r="F19" s="26"/>
      <c r="G19" s="366"/>
      <c r="H19" s="22" t="s">
        <v>12</v>
      </c>
      <c r="I19" s="26"/>
      <c r="J19" s="366"/>
      <c r="K19" s="22" t="s">
        <v>12</v>
      </c>
      <c r="L19" s="26"/>
      <c r="M19" s="366"/>
      <c r="N19" s="22" t="s">
        <v>12</v>
      </c>
      <c r="O19" s="26"/>
      <c r="P19" s="366"/>
      <c r="Q19" s="22" t="s">
        <v>12</v>
      </c>
      <c r="R19" s="26"/>
      <c r="S19" s="366"/>
    </row>
    <row r="20" spans="1:19" ht="12.75" customHeight="1" x14ac:dyDescent="0.25">
      <c r="A20" s="376" t="str">
        <f>IFERROR(IF(MONTH(A18+1)&lt;&gt;MONTH(A18), "", A18+1),"")</f>
        <v/>
      </c>
      <c r="B20" s="28" t="s">
        <v>76</v>
      </c>
      <c r="C20" s="222"/>
      <c r="D20" s="354" t="s">
        <v>76</v>
      </c>
      <c r="E20" s="28" t="s">
        <v>76</v>
      </c>
      <c r="F20" s="222"/>
      <c r="G20" s="377" t="s">
        <v>76</v>
      </c>
      <c r="H20" s="28" t="s">
        <v>76</v>
      </c>
      <c r="I20" s="222"/>
      <c r="J20" s="377" t="s">
        <v>76</v>
      </c>
      <c r="K20" s="28" t="s">
        <v>76</v>
      </c>
      <c r="L20" s="222"/>
      <c r="M20" s="377" t="s">
        <v>76</v>
      </c>
      <c r="N20" s="28" t="s">
        <v>76</v>
      </c>
      <c r="O20" s="222"/>
      <c r="P20" s="377" t="s">
        <v>76</v>
      </c>
      <c r="Q20" s="28" t="s">
        <v>76</v>
      </c>
      <c r="R20" s="222"/>
      <c r="S20" s="377" t="s">
        <v>76</v>
      </c>
    </row>
    <row r="21" spans="1:19" ht="12.75" customHeight="1" x14ac:dyDescent="0.25">
      <c r="A21" s="364"/>
      <c r="B21" s="22" t="s">
        <v>12</v>
      </c>
      <c r="C21" s="26"/>
      <c r="D21" s="354"/>
      <c r="E21" s="22" t="s">
        <v>12</v>
      </c>
      <c r="F21" s="26"/>
      <c r="G21" s="366"/>
      <c r="H21" s="22" t="s">
        <v>12</v>
      </c>
      <c r="I21" s="26"/>
      <c r="J21" s="366"/>
      <c r="K21" s="22" t="s">
        <v>12</v>
      </c>
      <c r="L21" s="26"/>
      <c r="M21" s="366"/>
      <c r="N21" s="22" t="s">
        <v>12</v>
      </c>
      <c r="O21" s="26"/>
      <c r="P21" s="366"/>
      <c r="Q21" s="22" t="s">
        <v>12</v>
      </c>
      <c r="R21" s="26"/>
      <c r="S21" s="366"/>
    </row>
    <row r="22" spans="1:19" ht="12.75" customHeight="1" x14ac:dyDescent="0.25">
      <c r="A22" s="376" t="str">
        <f>IFERROR(IF(MONTH(A20+1)&lt;&gt;MONTH(A20), "", A20+1),"")</f>
        <v/>
      </c>
      <c r="B22" s="28" t="s">
        <v>76</v>
      </c>
      <c r="C22" s="222"/>
      <c r="D22" s="354" t="s">
        <v>76</v>
      </c>
      <c r="E22" s="28" t="s">
        <v>76</v>
      </c>
      <c r="F22" s="222"/>
      <c r="G22" s="377" t="s">
        <v>76</v>
      </c>
      <c r="H22" s="28" t="s">
        <v>76</v>
      </c>
      <c r="I22" s="222"/>
      <c r="J22" s="377" t="s">
        <v>76</v>
      </c>
      <c r="K22" s="28" t="s">
        <v>76</v>
      </c>
      <c r="L22" s="222"/>
      <c r="M22" s="377" t="s">
        <v>76</v>
      </c>
      <c r="N22" s="28" t="s">
        <v>76</v>
      </c>
      <c r="O22" s="222"/>
      <c r="P22" s="377" t="s">
        <v>76</v>
      </c>
      <c r="Q22" s="28" t="s">
        <v>76</v>
      </c>
      <c r="R22" s="222"/>
      <c r="S22" s="377" t="s">
        <v>76</v>
      </c>
    </row>
    <row r="23" spans="1:19" ht="12.75" customHeight="1" x14ac:dyDescent="0.25">
      <c r="A23" s="364"/>
      <c r="B23" s="22" t="s">
        <v>12</v>
      </c>
      <c r="C23" s="26"/>
      <c r="D23" s="354"/>
      <c r="E23" s="22" t="s">
        <v>12</v>
      </c>
      <c r="F23" s="26"/>
      <c r="G23" s="366"/>
      <c r="H23" s="22" t="s">
        <v>12</v>
      </c>
      <c r="I23" s="26"/>
      <c r="J23" s="366"/>
      <c r="K23" s="22" t="s">
        <v>12</v>
      </c>
      <c r="L23" s="26"/>
      <c r="M23" s="366"/>
      <c r="N23" s="22" t="s">
        <v>12</v>
      </c>
      <c r="O23" s="26"/>
      <c r="P23" s="366"/>
      <c r="Q23" s="22" t="s">
        <v>12</v>
      </c>
      <c r="R23" s="26"/>
      <c r="S23" s="366"/>
    </row>
    <row r="24" spans="1:19" ht="12.75" customHeight="1" x14ac:dyDescent="0.25">
      <c r="A24" s="376" t="str">
        <f>IFERROR(IF(MONTH(A22+1)&lt;&gt;MONTH(A22), "", A22+1),"")</f>
        <v/>
      </c>
      <c r="B24" s="28" t="s">
        <v>76</v>
      </c>
      <c r="C24" s="222"/>
      <c r="D24" s="354" t="s">
        <v>76</v>
      </c>
      <c r="E24" s="28" t="s">
        <v>76</v>
      </c>
      <c r="F24" s="222"/>
      <c r="G24" s="377" t="s">
        <v>76</v>
      </c>
      <c r="H24" s="28" t="s">
        <v>76</v>
      </c>
      <c r="I24" s="222"/>
      <c r="J24" s="377" t="s">
        <v>76</v>
      </c>
      <c r="K24" s="28" t="s">
        <v>76</v>
      </c>
      <c r="L24" s="222"/>
      <c r="M24" s="377" t="s">
        <v>76</v>
      </c>
      <c r="N24" s="28" t="s">
        <v>76</v>
      </c>
      <c r="O24" s="222"/>
      <c r="P24" s="377" t="s">
        <v>76</v>
      </c>
      <c r="Q24" s="28" t="s">
        <v>76</v>
      </c>
      <c r="R24" s="222"/>
      <c r="S24" s="377" t="s">
        <v>76</v>
      </c>
    </row>
    <row r="25" spans="1:19" ht="12.75" customHeight="1" x14ac:dyDescent="0.25">
      <c r="A25" s="364"/>
      <c r="B25" s="22" t="s">
        <v>12</v>
      </c>
      <c r="C25" s="26"/>
      <c r="D25" s="354"/>
      <c r="E25" s="22" t="s">
        <v>12</v>
      </c>
      <c r="F25" s="26"/>
      <c r="G25" s="366"/>
      <c r="H25" s="22" t="s">
        <v>12</v>
      </c>
      <c r="I25" s="26"/>
      <c r="J25" s="366"/>
      <c r="K25" s="22" t="s">
        <v>12</v>
      </c>
      <c r="L25" s="26"/>
      <c r="M25" s="366"/>
      <c r="N25" s="22" t="s">
        <v>12</v>
      </c>
      <c r="O25" s="26"/>
      <c r="P25" s="366"/>
      <c r="Q25" s="22" t="s">
        <v>12</v>
      </c>
      <c r="R25" s="26"/>
      <c r="S25" s="366"/>
    </row>
    <row r="26" spans="1:19" ht="12.75" customHeight="1" x14ac:dyDescent="0.25">
      <c r="A26" s="376" t="str">
        <f>IFERROR(IF(MONTH(A24+1)&lt;&gt;MONTH(A24), "", A24+1),"")</f>
        <v/>
      </c>
      <c r="B26" s="28" t="s">
        <v>76</v>
      </c>
      <c r="C26" s="222"/>
      <c r="D26" s="354" t="s">
        <v>76</v>
      </c>
      <c r="E26" s="28" t="s">
        <v>76</v>
      </c>
      <c r="F26" s="222"/>
      <c r="G26" s="377" t="s">
        <v>76</v>
      </c>
      <c r="H26" s="28" t="s">
        <v>76</v>
      </c>
      <c r="I26" s="222"/>
      <c r="J26" s="377" t="s">
        <v>76</v>
      </c>
      <c r="K26" s="28" t="s">
        <v>76</v>
      </c>
      <c r="L26" s="222"/>
      <c r="M26" s="377" t="s">
        <v>76</v>
      </c>
      <c r="N26" s="28" t="s">
        <v>76</v>
      </c>
      <c r="O26" s="222"/>
      <c r="P26" s="377" t="s">
        <v>76</v>
      </c>
      <c r="Q26" s="28" t="s">
        <v>76</v>
      </c>
      <c r="R26" s="222"/>
      <c r="S26" s="377" t="s">
        <v>76</v>
      </c>
    </row>
    <row r="27" spans="1:19" ht="12.75" customHeight="1" x14ac:dyDescent="0.25">
      <c r="A27" s="364"/>
      <c r="B27" s="22" t="s">
        <v>12</v>
      </c>
      <c r="C27" s="26"/>
      <c r="D27" s="354"/>
      <c r="E27" s="22" t="s">
        <v>12</v>
      </c>
      <c r="F27" s="26"/>
      <c r="G27" s="366"/>
      <c r="H27" s="22" t="s">
        <v>12</v>
      </c>
      <c r="I27" s="26"/>
      <c r="J27" s="366"/>
      <c r="K27" s="22" t="s">
        <v>12</v>
      </c>
      <c r="L27" s="26"/>
      <c r="M27" s="366"/>
      <c r="N27" s="22" t="s">
        <v>12</v>
      </c>
      <c r="O27" s="26"/>
      <c r="P27" s="366"/>
      <c r="Q27" s="22" t="s">
        <v>12</v>
      </c>
      <c r="R27" s="26"/>
      <c r="S27" s="366"/>
    </row>
    <row r="28" spans="1:19" ht="12.75" customHeight="1" x14ac:dyDescent="0.25">
      <c r="A28" s="376" t="str">
        <f>IFERROR(IF(MONTH(A26+1)&lt;&gt;MONTH(A26), "", A26+1),"")</f>
        <v/>
      </c>
      <c r="B28" s="28" t="s">
        <v>76</v>
      </c>
      <c r="C28" s="222"/>
      <c r="D28" s="354" t="s">
        <v>76</v>
      </c>
      <c r="E28" s="28" t="s">
        <v>76</v>
      </c>
      <c r="F28" s="222"/>
      <c r="G28" s="377" t="s">
        <v>76</v>
      </c>
      <c r="H28" s="28" t="s">
        <v>76</v>
      </c>
      <c r="I28" s="222"/>
      <c r="J28" s="377" t="s">
        <v>76</v>
      </c>
      <c r="K28" s="28" t="s">
        <v>76</v>
      </c>
      <c r="L28" s="222"/>
      <c r="M28" s="377" t="s">
        <v>76</v>
      </c>
      <c r="N28" s="28" t="s">
        <v>76</v>
      </c>
      <c r="O28" s="222"/>
      <c r="P28" s="377" t="s">
        <v>76</v>
      </c>
      <c r="Q28" s="28" t="s">
        <v>76</v>
      </c>
      <c r="R28" s="222"/>
      <c r="S28" s="377" t="s">
        <v>76</v>
      </c>
    </row>
    <row r="29" spans="1:19" ht="12.75" customHeight="1" x14ac:dyDescent="0.25">
      <c r="A29" s="364"/>
      <c r="B29" s="22" t="s">
        <v>12</v>
      </c>
      <c r="C29" s="26"/>
      <c r="D29" s="354"/>
      <c r="E29" s="22" t="s">
        <v>12</v>
      </c>
      <c r="F29" s="26"/>
      <c r="G29" s="366"/>
      <c r="H29" s="22" t="s">
        <v>12</v>
      </c>
      <c r="I29" s="26"/>
      <c r="J29" s="366"/>
      <c r="K29" s="22" t="s">
        <v>12</v>
      </c>
      <c r="L29" s="26"/>
      <c r="M29" s="366"/>
      <c r="N29" s="22" t="s">
        <v>12</v>
      </c>
      <c r="O29" s="26"/>
      <c r="P29" s="366"/>
      <c r="Q29" s="22" t="s">
        <v>12</v>
      </c>
      <c r="R29" s="26"/>
      <c r="S29" s="366"/>
    </row>
    <row r="30" spans="1:19" ht="12.75" customHeight="1" x14ac:dyDescent="0.25">
      <c r="A30" s="376" t="str">
        <f>IFERROR(IF(MONTH(A28+1)&lt;&gt;MONTH(A28), "", A28+1),"")</f>
        <v/>
      </c>
      <c r="B30" s="28" t="s">
        <v>76</v>
      </c>
      <c r="C30" s="222"/>
      <c r="D30" s="354" t="s">
        <v>76</v>
      </c>
      <c r="E30" s="28" t="s">
        <v>76</v>
      </c>
      <c r="F30" s="222"/>
      <c r="G30" s="377" t="s">
        <v>76</v>
      </c>
      <c r="H30" s="28" t="s">
        <v>76</v>
      </c>
      <c r="I30" s="222"/>
      <c r="J30" s="377" t="s">
        <v>76</v>
      </c>
      <c r="K30" s="28" t="s">
        <v>76</v>
      </c>
      <c r="L30" s="222"/>
      <c r="M30" s="377" t="s">
        <v>76</v>
      </c>
      <c r="N30" s="28" t="s">
        <v>76</v>
      </c>
      <c r="O30" s="222"/>
      <c r="P30" s="377" t="s">
        <v>76</v>
      </c>
      <c r="Q30" s="28" t="s">
        <v>76</v>
      </c>
      <c r="R30" s="222"/>
      <c r="S30" s="377" t="s">
        <v>76</v>
      </c>
    </row>
    <row r="31" spans="1:19" ht="12.75" customHeight="1" x14ac:dyDescent="0.25">
      <c r="A31" s="364"/>
      <c r="B31" s="22" t="s">
        <v>12</v>
      </c>
      <c r="C31" s="26"/>
      <c r="D31" s="354"/>
      <c r="E31" s="22" t="s">
        <v>12</v>
      </c>
      <c r="F31" s="26"/>
      <c r="G31" s="366"/>
      <c r="H31" s="22" t="s">
        <v>12</v>
      </c>
      <c r="I31" s="26"/>
      <c r="J31" s="366"/>
      <c r="K31" s="22" t="s">
        <v>12</v>
      </c>
      <c r="L31" s="26"/>
      <c r="M31" s="366"/>
      <c r="N31" s="22" t="s">
        <v>12</v>
      </c>
      <c r="O31" s="26"/>
      <c r="P31" s="366"/>
      <c r="Q31" s="22" t="s">
        <v>12</v>
      </c>
      <c r="R31" s="26"/>
      <c r="S31" s="366"/>
    </row>
    <row r="32" spans="1:19" ht="12.75" customHeight="1" x14ac:dyDescent="0.25">
      <c r="A32" s="376" t="str">
        <f>IFERROR(IF(MONTH(A30+1)&lt;&gt;MONTH(A30), "", A30+1),"")</f>
        <v/>
      </c>
      <c r="B32" s="28" t="s">
        <v>76</v>
      </c>
      <c r="C32" s="222"/>
      <c r="D32" s="354" t="s">
        <v>76</v>
      </c>
      <c r="E32" s="28" t="s">
        <v>76</v>
      </c>
      <c r="F32" s="222"/>
      <c r="G32" s="377" t="s">
        <v>76</v>
      </c>
      <c r="H32" s="28" t="s">
        <v>76</v>
      </c>
      <c r="I32" s="222"/>
      <c r="J32" s="377" t="s">
        <v>76</v>
      </c>
      <c r="K32" s="28" t="s">
        <v>76</v>
      </c>
      <c r="L32" s="222"/>
      <c r="M32" s="377" t="s">
        <v>76</v>
      </c>
      <c r="N32" s="28" t="s">
        <v>76</v>
      </c>
      <c r="O32" s="222"/>
      <c r="P32" s="377" t="s">
        <v>76</v>
      </c>
      <c r="Q32" s="28" t="s">
        <v>76</v>
      </c>
      <c r="R32" s="222"/>
      <c r="S32" s="377" t="s">
        <v>76</v>
      </c>
    </row>
    <row r="33" spans="1:19" ht="12.75" customHeight="1" x14ac:dyDescent="0.25">
      <c r="A33" s="364"/>
      <c r="B33" s="22" t="s">
        <v>12</v>
      </c>
      <c r="C33" s="26"/>
      <c r="D33" s="354"/>
      <c r="E33" s="22" t="s">
        <v>12</v>
      </c>
      <c r="F33" s="26"/>
      <c r="G33" s="366"/>
      <c r="H33" s="22" t="s">
        <v>12</v>
      </c>
      <c r="I33" s="26"/>
      <c r="J33" s="366"/>
      <c r="K33" s="22" t="s">
        <v>12</v>
      </c>
      <c r="L33" s="26"/>
      <c r="M33" s="366"/>
      <c r="N33" s="22" t="s">
        <v>12</v>
      </c>
      <c r="O33" s="26"/>
      <c r="P33" s="366"/>
      <c r="Q33" s="22" t="s">
        <v>12</v>
      </c>
      <c r="R33" s="26"/>
      <c r="S33" s="366"/>
    </row>
    <row r="34" spans="1:19" ht="12.75" customHeight="1" x14ac:dyDescent="0.25">
      <c r="A34" s="376" t="str">
        <f>IFERROR(IF(MONTH(A32+1)&lt;&gt;MONTH(A32), "", A32+1),"")</f>
        <v/>
      </c>
      <c r="B34" s="28" t="s">
        <v>76</v>
      </c>
      <c r="C34" s="222"/>
      <c r="D34" s="354" t="s">
        <v>76</v>
      </c>
      <c r="E34" s="28" t="s">
        <v>76</v>
      </c>
      <c r="F34" s="222"/>
      <c r="G34" s="377" t="s">
        <v>76</v>
      </c>
      <c r="H34" s="28" t="s">
        <v>76</v>
      </c>
      <c r="I34" s="222"/>
      <c r="J34" s="377" t="s">
        <v>76</v>
      </c>
      <c r="K34" s="28" t="s">
        <v>76</v>
      </c>
      <c r="L34" s="222"/>
      <c r="M34" s="377" t="s">
        <v>76</v>
      </c>
      <c r="N34" s="28" t="s">
        <v>76</v>
      </c>
      <c r="O34" s="222"/>
      <c r="P34" s="377" t="s">
        <v>76</v>
      </c>
      <c r="Q34" s="28" t="s">
        <v>76</v>
      </c>
      <c r="R34" s="222"/>
      <c r="S34" s="377" t="s">
        <v>76</v>
      </c>
    </row>
    <row r="35" spans="1:19" ht="12.75" customHeight="1" x14ac:dyDescent="0.25">
      <c r="A35" s="364"/>
      <c r="B35" s="22" t="s">
        <v>12</v>
      </c>
      <c r="C35" s="26"/>
      <c r="D35" s="354"/>
      <c r="E35" s="22" t="s">
        <v>12</v>
      </c>
      <c r="F35" s="26"/>
      <c r="G35" s="366"/>
      <c r="H35" s="22" t="s">
        <v>12</v>
      </c>
      <c r="I35" s="26"/>
      <c r="J35" s="366"/>
      <c r="K35" s="22" t="s">
        <v>12</v>
      </c>
      <c r="L35" s="26"/>
      <c r="M35" s="366"/>
      <c r="N35" s="22" t="s">
        <v>12</v>
      </c>
      <c r="O35" s="26"/>
      <c r="P35" s="366"/>
      <c r="Q35" s="22" t="s">
        <v>12</v>
      </c>
      <c r="R35" s="26"/>
      <c r="S35" s="366"/>
    </row>
    <row r="36" spans="1:19" ht="12.75" customHeight="1" x14ac:dyDescent="0.25">
      <c r="A36" s="376" t="str">
        <f>IFERROR(IF(MONTH(A34+1)&lt;&gt;MONTH(A34), "", A34+1),"")</f>
        <v/>
      </c>
      <c r="B36" s="28" t="s">
        <v>76</v>
      </c>
      <c r="C36" s="222"/>
      <c r="D36" s="354" t="s">
        <v>76</v>
      </c>
      <c r="E36" s="28" t="s">
        <v>76</v>
      </c>
      <c r="F36" s="222"/>
      <c r="G36" s="377" t="s">
        <v>76</v>
      </c>
      <c r="H36" s="28" t="s">
        <v>76</v>
      </c>
      <c r="I36" s="222"/>
      <c r="J36" s="377" t="s">
        <v>76</v>
      </c>
      <c r="K36" s="28" t="s">
        <v>76</v>
      </c>
      <c r="L36" s="222"/>
      <c r="M36" s="377" t="s">
        <v>76</v>
      </c>
      <c r="N36" s="28" t="s">
        <v>76</v>
      </c>
      <c r="O36" s="222"/>
      <c r="P36" s="377" t="s">
        <v>76</v>
      </c>
      <c r="Q36" s="28" t="s">
        <v>76</v>
      </c>
      <c r="R36" s="222"/>
      <c r="S36" s="377" t="s">
        <v>76</v>
      </c>
    </row>
    <row r="37" spans="1:19" ht="12.75" customHeight="1" x14ac:dyDescent="0.25">
      <c r="A37" s="364"/>
      <c r="B37" s="22" t="s">
        <v>12</v>
      </c>
      <c r="C37" s="26"/>
      <c r="D37" s="354"/>
      <c r="E37" s="22" t="s">
        <v>12</v>
      </c>
      <c r="F37" s="26"/>
      <c r="G37" s="366"/>
      <c r="H37" s="22" t="s">
        <v>12</v>
      </c>
      <c r="I37" s="26"/>
      <c r="J37" s="366"/>
      <c r="K37" s="22" t="s">
        <v>12</v>
      </c>
      <c r="L37" s="26"/>
      <c r="M37" s="366"/>
      <c r="N37" s="22" t="s">
        <v>12</v>
      </c>
      <c r="O37" s="26"/>
      <c r="P37" s="366"/>
      <c r="Q37" s="22" t="s">
        <v>12</v>
      </c>
      <c r="R37" s="26"/>
      <c r="S37" s="366"/>
    </row>
    <row r="38" spans="1:19" ht="12.75" customHeight="1" x14ac:dyDescent="0.25">
      <c r="A38" s="376" t="str">
        <f>IFERROR(IF(MONTH(A36+1)&lt;&gt;MONTH(A36), "", A36+1),"")</f>
        <v/>
      </c>
      <c r="B38" s="28" t="s">
        <v>76</v>
      </c>
      <c r="C38" s="222"/>
      <c r="D38" s="354" t="s">
        <v>76</v>
      </c>
      <c r="E38" s="28" t="s">
        <v>76</v>
      </c>
      <c r="F38" s="222"/>
      <c r="G38" s="377" t="s">
        <v>76</v>
      </c>
      <c r="H38" s="28" t="s">
        <v>76</v>
      </c>
      <c r="I38" s="222"/>
      <c r="J38" s="377" t="s">
        <v>76</v>
      </c>
      <c r="K38" s="28" t="s">
        <v>76</v>
      </c>
      <c r="L38" s="222"/>
      <c r="M38" s="377" t="s">
        <v>76</v>
      </c>
      <c r="N38" s="28" t="s">
        <v>76</v>
      </c>
      <c r="O38" s="222"/>
      <c r="P38" s="377" t="s">
        <v>76</v>
      </c>
      <c r="Q38" s="28" t="s">
        <v>76</v>
      </c>
      <c r="R38" s="222"/>
      <c r="S38" s="377" t="s">
        <v>76</v>
      </c>
    </row>
    <row r="39" spans="1:19" ht="12.75" customHeight="1" x14ac:dyDescent="0.25">
      <c r="A39" s="364"/>
      <c r="B39" s="22" t="s">
        <v>12</v>
      </c>
      <c r="C39" s="26"/>
      <c r="D39" s="354"/>
      <c r="E39" s="22" t="s">
        <v>12</v>
      </c>
      <c r="F39" s="26"/>
      <c r="G39" s="366"/>
      <c r="H39" s="22" t="s">
        <v>12</v>
      </c>
      <c r="I39" s="26"/>
      <c r="J39" s="366"/>
      <c r="K39" s="22" t="s">
        <v>12</v>
      </c>
      <c r="L39" s="26"/>
      <c r="M39" s="366"/>
      <c r="N39" s="22" t="s">
        <v>12</v>
      </c>
      <c r="O39" s="26"/>
      <c r="P39" s="366"/>
      <c r="Q39" s="22" t="s">
        <v>12</v>
      </c>
      <c r="R39" s="26"/>
      <c r="S39" s="366"/>
    </row>
    <row r="40" spans="1:19" ht="12.75" customHeight="1" x14ac:dyDescent="0.25">
      <c r="A40" s="376" t="str">
        <f>IFERROR(IF(MONTH(A38+1)&lt;&gt;MONTH(A38), "", A38+1),"")</f>
        <v/>
      </c>
      <c r="B40" s="28" t="s">
        <v>76</v>
      </c>
      <c r="C40" s="222"/>
      <c r="D40" s="354" t="s">
        <v>76</v>
      </c>
      <c r="E40" s="28" t="s">
        <v>76</v>
      </c>
      <c r="F40" s="222"/>
      <c r="G40" s="377" t="s">
        <v>76</v>
      </c>
      <c r="H40" s="28" t="s">
        <v>76</v>
      </c>
      <c r="I40" s="222"/>
      <c r="J40" s="377" t="s">
        <v>76</v>
      </c>
      <c r="K40" s="28" t="s">
        <v>76</v>
      </c>
      <c r="L40" s="222"/>
      <c r="M40" s="377" t="s">
        <v>76</v>
      </c>
      <c r="N40" s="28" t="s">
        <v>76</v>
      </c>
      <c r="O40" s="222"/>
      <c r="P40" s="377" t="s">
        <v>76</v>
      </c>
      <c r="Q40" s="28" t="s">
        <v>76</v>
      </c>
      <c r="R40" s="222"/>
      <c r="S40" s="377" t="s">
        <v>76</v>
      </c>
    </row>
    <row r="41" spans="1:19" ht="12.75" customHeight="1" x14ac:dyDescent="0.25">
      <c r="A41" s="364"/>
      <c r="B41" s="22" t="s">
        <v>12</v>
      </c>
      <c r="C41" s="26"/>
      <c r="D41" s="354"/>
      <c r="E41" s="22" t="s">
        <v>12</v>
      </c>
      <c r="F41" s="26"/>
      <c r="G41" s="366"/>
      <c r="H41" s="22" t="s">
        <v>12</v>
      </c>
      <c r="I41" s="26"/>
      <c r="J41" s="366"/>
      <c r="K41" s="22" t="s">
        <v>12</v>
      </c>
      <c r="L41" s="26"/>
      <c r="M41" s="366"/>
      <c r="N41" s="22" t="s">
        <v>12</v>
      </c>
      <c r="O41" s="26"/>
      <c r="P41" s="366"/>
      <c r="Q41" s="22" t="s">
        <v>12</v>
      </c>
      <c r="R41" s="26"/>
      <c r="S41" s="366"/>
    </row>
    <row r="42" spans="1:19" ht="12.75" customHeight="1" x14ac:dyDescent="0.25">
      <c r="A42" s="376" t="str">
        <f>IFERROR(IF(MONTH(A40+1)&lt;&gt;MONTH(A40), "", A40+1),"")</f>
        <v/>
      </c>
      <c r="B42" s="28" t="s">
        <v>76</v>
      </c>
      <c r="C42" s="222"/>
      <c r="D42" s="354" t="s">
        <v>76</v>
      </c>
      <c r="E42" s="28" t="s">
        <v>76</v>
      </c>
      <c r="F42" s="222"/>
      <c r="G42" s="377" t="s">
        <v>76</v>
      </c>
      <c r="H42" s="28" t="s">
        <v>76</v>
      </c>
      <c r="I42" s="222"/>
      <c r="J42" s="377" t="s">
        <v>76</v>
      </c>
      <c r="K42" s="28" t="s">
        <v>76</v>
      </c>
      <c r="L42" s="222"/>
      <c r="M42" s="377" t="s">
        <v>76</v>
      </c>
      <c r="N42" s="28" t="s">
        <v>76</v>
      </c>
      <c r="O42" s="222"/>
      <c r="P42" s="377" t="s">
        <v>76</v>
      </c>
      <c r="Q42" s="28" t="s">
        <v>76</v>
      </c>
      <c r="R42" s="222"/>
      <c r="S42" s="377" t="s">
        <v>76</v>
      </c>
    </row>
    <row r="43" spans="1:19" ht="12.75" customHeight="1" x14ac:dyDescent="0.25">
      <c r="A43" s="364"/>
      <c r="B43" s="22" t="s">
        <v>12</v>
      </c>
      <c r="C43" s="26"/>
      <c r="D43" s="354"/>
      <c r="E43" s="22" t="s">
        <v>12</v>
      </c>
      <c r="F43" s="26"/>
      <c r="G43" s="366"/>
      <c r="H43" s="22" t="s">
        <v>12</v>
      </c>
      <c r="I43" s="26"/>
      <c r="J43" s="366"/>
      <c r="K43" s="22" t="s">
        <v>12</v>
      </c>
      <c r="L43" s="26"/>
      <c r="M43" s="366"/>
      <c r="N43" s="22" t="s">
        <v>12</v>
      </c>
      <c r="O43" s="26"/>
      <c r="P43" s="366"/>
      <c r="Q43" s="22" t="s">
        <v>12</v>
      </c>
      <c r="R43" s="26"/>
      <c r="S43" s="366"/>
    </row>
    <row r="44" spans="1:19" ht="12.75" customHeight="1" x14ac:dyDescent="0.25">
      <c r="A44" s="376" t="str">
        <f>IFERROR(IF(MONTH(A42+1)&lt;&gt;MONTH(A42), "", A42+1),"")</f>
        <v/>
      </c>
      <c r="B44" s="28"/>
      <c r="C44" s="222"/>
      <c r="D44" s="354" t="s">
        <v>76</v>
      </c>
      <c r="E44" s="28"/>
      <c r="F44" s="222"/>
      <c r="G44" s="377" t="s">
        <v>76</v>
      </c>
      <c r="H44" s="28"/>
      <c r="I44" s="222"/>
      <c r="J44" s="377" t="s">
        <v>76</v>
      </c>
      <c r="K44" s="28"/>
      <c r="L44" s="222"/>
      <c r="M44" s="377" t="s">
        <v>76</v>
      </c>
      <c r="N44" s="28"/>
      <c r="O44" s="222"/>
      <c r="P44" s="377" t="s">
        <v>76</v>
      </c>
      <c r="Q44" s="28"/>
      <c r="R44" s="222"/>
      <c r="S44" s="377" t="s">
        <v>76</v>
      </c>
    </row>
    <row r="45" spans="1:19" ht="12.75" customHeight="1" x14ac:dyDescent="0.25">
      <c r="A45" s="364"/>
      <c r="B45" s="22" t="s">
        <v>12</v>
      </c>
      <c r="C45" s="26"/>
      <c r="D45" s="354"/>
      <c r="E45" s="22" t="s">
        <v>12</v>
      </c>
      <c r="F45" s="26"/>
      <c r="G45" s="366"/>
      <c r="H45" s="22" t="s">
        <v>12</v>
      </c>
      <c r="I45" s="26"/>
      <c r="J45" s="366"/>
      <c r="K45" s="22" t="s">
        <v>12</v>
      </c>
      <c r="L45" s="26"/>
      <c r="M45" s="366"/>
      <c r="N45" s="22" t="s">
        <v>12</v>
      </c>
      <c r="O45" s="26"/>
      <c r="P45" s="366"/>
      <c r="Q45" s="22" t="s">
        <v>12</v>
      </c>
      <c r="R45" s="26"/>
      <c r="S45" s="366"/>
    </row>
    <row r="46" spans="1:19" ht="12.75" customHeight="1" x14ac:dyDescent="0.25">
      <c r="A46" s="376" t="str">
        <f>IFERROR(IF(MONTH(A44+1)&lt;&gt;MONTH(A44), "", A44+1),"")</f>
        <v/>
      </c>
      <c r="B46" s="28" t="s">
        <v>76</v>
      </c>
      <c r="C46" s="222"/>
      <c r="D46" s="354" t="s">
        <v>76</v>
      </c>
      <c r="E46" s="28" t="s">
        <v>76</v>
      </c>
      <c r="F46" s="222"/>
      <c r="G46" s="377" t="s">
        <v>76</v>
      </c>
      <c r="H46" s="28" t="s">
        <v>76</v>
      </c>
      <c r="I46" s="222"/>
      <c r="J46" s="377" t="s">
        <v>76</v>
      </c>
      <c r="K46" s="28" t="s">
        <v>76</v>
      </c>
      <c r="L46" s="222"/>
      <c r="M46" s="377" t="s">
        <v>76</v>
      </c>
      <c r="N46" s="28" t="s">
        <v>76</v>
      </c>
      <c r="O46" s="222"/>
      <c r="P46" s="377" t="s">
        <v>76</v>
      </c>
      <c r="Q46" s="28" t="s">
        <v>76</v>
      </c>
      <c r="R46" s="222"/>
      <c r="S46" s="377" t="s">
        <v>76</v>
      </c>
    </row>
    <row r="47" spans="1:19" ht="12.75" customHeight="1" x14ac:dyDescent="0.25">
      <c r="A47" s="364"/>
      <c r="B47" s="22" t="s">
        <v>12</v>
      </c>
      <c r="C47" s="26"/>
      <c r="D47" s="354"/>
      <c r="E47" s="22" t="s">
        <v>12</v>
      </c>
      <c r="F47" s="26"/>
      <c r="G47" s="366"/>
      <c r="H47" s="22" t="s">
        <v>12</v>
      </c>
      <c r="I47" s="26"/>
      <c r="J47" s="366"/>
      <c r="K47" s="22" t="s">
        <v>12</v>
      </c>
      <c r="L47" s="26"/>
      <c r="M47" s="366"/>
      <c r="N47" s="22" t="s">
        <v>12</v>
      </c>
      <c r="O47" s="26"/>
      <c r="P47" s="366"/>
      <c r="Q47" s="22" t="s">
        <v>12</v>
      </c>
      <c r="R47" s="26"/>
      <c r="S47" s="366"/>
    </row>
    <row r="48" spans="1:19" ht="12.75" customHeight="1" x14ac:dyDescent="0.25">
      <c r="A48" s="376" t="str">
        <f>IFERROR(IF(MONTH(A46+1)&lt;&gt;MONTH(A46), "", A46+1),"")</f>
        <v/>
      </c>
      <c r="B48" s="28" t="s">
        <v>76</v>
      </c>
      <c r="C48" s="222"/>
      <c r="D48" s="354" t="s">
        <v>76</v>
      </c>
      <c r="E48" s="28" t="s">
        <v>76</v>
      </c>
      <c r="F48" s="222"/>
      <c r="G48" s="377" t="s">
        <v>76</v>
      </c>
      <c r="H48" s="28" t="s">
        <v>76</v>
      </c>
      <c r="I48" s="222"/>
      <c r="J48" s="377" t="s">
        <v>76</v>
      </c>
      <c r="K48" s="28" t="s">
        <v>76</v>
      </c>
      <c r="L48" s="222"/>
      <c r="M48" s="377" t="s">
        <v>76</v>
      </c>
      <c r="N48" s="28" t="s">
        <v>76</v>
      </c>
      <c r="O48" s="222"/>
      <c r="P48" s="377" t="s">
        <v>76</v>
      </c>
      <c r="Q48" s="28" t="s">
        <v>76</v>
      </c>
      <c r="R48" s="222"/>
      <c r="S48" s="377" t="s">
        <v>76</v>
      </c>
    </row>
    <row r="49" spans="1:19" ht="12.75" customHeight="1" x14ac:dyDescent="0.25">
      <c r="A49" s="364"/>
      <c r="B49" s="22" t="s">
        <v>12</v>
      </c>
      <c r="C49" s="26"/>
      <c r="D49" s="354"/>
      <c r="E49" s="22" t="s">
        <v>12</v>
      </c>
      <c r="F49" s="26"/>
      <c r="G49" s="366"/>
      <c r="H49" s="22" t="s">
        <v>12</v>
      </c>
      <c r="I49" s="26"/>
      <c r="J49" s="366"/>
      <c r="K49" s="22" t="s">
        <v>12</v>
      </c>
      <c r="L49" s="26"/>
      <c r="M49" s="366"/>
      <c r="N49" s="22" t="s">
        <v>12</v>
      </c>
      <c r="O49" s="26"/>
      <c r="P49" s="366"/>
      <c r="Q49" s="22" t="s">
        <v>12</v>
      </c>
      <c r="R49" s="26"/>
      <c r="S49" s="366"/>
    </row>
    <row r="50" spans="1:19" ht="12.75" customHeight="1" x14ac:dyDescent="0.25">
      <c r="A50" s="376" t="str">
        <f>IFERROR(IF(MONTH(A48+1)&lt;&gt;MONTH(A48), "", A48+1),"")</f>
        <v/>
      </c>
      <c r="B50" s="28" t="s">
        <v>76</v>
      </c>
      <c r="C50" s="222"/>
      <c r="D50" s="354" t="s">
        <v>76</v>
      </c>
      <c r="E50" s="28" t="s">
        <v>76</v>
      </c>
      <c r="F50" s="222"/>
      <c r="G50" s="377" t="s">
        <v>76</v>
      </c>
      <c r="H50" s="28" t="s">
        <v>76</v>
      </c>
      <c r="I50" s="222"/>
      <c r="J50" s="377" t="s">
        <v>76</v>
      </c>
      <c r="K50" s="28" t="s">
        <v>76</v>
      </c>
      <c r="L50" s="222"/>
      <c r="M50" s="377" t="s">
        <v>76</v>
      </c>
      <c r="N50" s="28" t="s">
        <v>76</v>
      </c>
      <c r="O50" s="222"/>
      <c r="P50" s="377" t="s">
        <v>76</v>
      </c>
      <c r="Q50" s="28" t="s">
        <v>76</v>
      </c>
      <c r="R50" s="222"/>
      <c r="S50" s="377" t="s">
        <v>76</v>
      </c>
    </row>
    <row r="51" spans="1:19" ht="12.75" customHeight="1" x14ac:dyDescent="0.25">
      <c r="A51" s="364"/>
      <c r="B51" s="22" t="s">
        <v>12</v>
      </c>
      <c r="C51" s="26"/>
      <c r="D51" s="354"/>
      <c r="E51" s="22" t="s">
        <v>12</v>
      </c>
      <c r="F51" s="26"/>
      <c r="G51" s="366"/>
      <c r="H51" s="22" t="s">
        <v>12</v>
      </c>
      <c r="I51" s="26"/>
      <c r="J51" s="366"/>
      <c r="K51" s="22" t="s">
        <v>12</v>
      </c>
      <c r="L51" s="26"/>
      <c r="M51" s="366"/>
      <c r="N51" s="22" t="s">
        <v>12</v>
      </c>
      <c r="O51" s="26"/>
      <c r="P51" s="366"/>
      <c r="Q51" s="22" t="s">
        <v>12</v>
      </c>
      <c r="R51" s="26"/>
      <c r="S51" s="366"/>
    </row>
    <row r="52" spans="1:19" ht="12.75" customHeight="1" x14ac:dyDescent="0.25">
      <c r="A52" s="376" t="str">
        <f>IFERROR(IF(MONTH(A50+1)&lt;&gt;MONTH(A50), "", A50+1),"")</f>
        <v/>
      </c>
      <c r="B52" s="28" t="s">
        <v>76</v>
      </c>
      <c r="C52" s="222"/>
      <c r="D52" s="354" t="s">
        <v>76</v>
      </c>
      <c r="E52" s="28" t="s">
        <v>76</v>
      </c>
      <c r="F52" s="222"/>
      <c r="G52" s="377" t="s">
        <v>76</v>
      </c>
      <c r="H52" s="28" t="s">
        <v>76</v>
      </c>
      <c r="I52" s="222"/>
      <c r="J52" s="377" t="s">
        <v>76</v>
      </c>
      <c r="K52" s="28" t="s">
        <v>76</v>
      </c>
      <c r="L52" s="222"/>
      <c r="M52" s="377" t="s">
        <v>76</v>
      </c>
      <c r="N52" s="28" t="s">
        <v>76</v>
      </c>
      <c r="O52" s="222"/>
      <c r="P52" s="377" t="s">
        <v>76</v>
      </c>
      <c r="Q52" s="28" t="s">
        <v>76</v>
      </c>
      <c r="R52" s="222"/>
      <c r="S52" s="377" t="s">
        <v>76</v>
      </c>
    </row>
    <row r="53" spans="1:19" ht="12.75" customHeight="1" x14ac:dyDescent="0.25">
      <c r="A53" s="364"/>
      <c r="B53" s="22" t="s">
        <v>12</v>
      </c>
      <c r="C53" s="26"/>
      <c r="D53" s="354"/>
      <c r="E53" s="22" t="s">
        <v>12</v>
      </c>
      <c r="F53" s="26"/>
      <c r="G53" s="366"/>
      <c r="H53" s="22" t="s">
        <v>12</v>
      </c>
      <c r="I53" s="26"/>
      <c r="J53" s="366"/>
      <c r="K53" s="22" t="s">
        <v>12</v>
      </c>
      <c r="L53" s="26"/>
      <c r="M53" s="366"/>
      <c r="N53" s="22" t="s">
        <v>12</v>
      </c>
      <c r="O53" s="26"/>
      <c r="P53" s="366"/>
      <c r="Q53" s="22" t="s">
        <v>12</v>
      </c>
      <c r="R53" s="26"/>
      <c r="S53" s="366"/>
    </row>
    <row r="54" spans="1:19" ht="12.75" customHeight="1" x14ac:dyDescent="0.25">
      <c r="A54" s="376" t="str">
        <f>IFERROR(IF(MONTH(A52+1)&lt;&gt;MONTH(A52), "", A52+1),"")</f>
        <v/>
      </c>
      <c r="B54" s="28" t="s">
        <v>76</v>
      </c>
      <c r="C54" s="222"/>
      <c r="D54" s="354" t="s">
        <v>76</v>
      </c>
      <c r="E54" s="28" t="s">
        <v>76</v>
      </c>
      <c r="F54" s="222"/>
      <c r="G54" s="377" t="s">
        <v>76</v>
      </c>
      <c r="H54" s="28" t="s">
        <v>76</v>
      </c>
      <c r="I54" s="222"/>
      <c r="J54" s="377" t="s">
        <v>76</v>
      </c>
      <c r="K54" s="28" t="s">
        <v>76</v>
      </c>
      <c r="L54" s="222"/>
      <c r="M54" s="377" t="s">
        <v>76</v>
      </c>
      <c r="N54" s="28" t="s">
        <v>76</v>
      </c>
      <c r="O54" s="222"/>
      <c r="P54" s="377" t="s">
        <v>76</v>
      </c>
      <c r="Q54" s="28" t="s">
        <v>76</v>
      </c>
      <c r="R54" s="222"/>
      <c r="S54" s="377" t="s">
        <v>76</v>
      </c>
    </row>
    <row r="55" spans="1:19" ht="12.75" customHeight="1" x14ac:dyDescent="0.25">
      <c r="A55" s="364"/>
      <c r="B55" s="22" t="s">
        <v>12</v>
      </c>
      <c r="C55" s="26"/>
      <c r="D55" s="354"/>
      <c r="E55" s="22" t="s">
        <v>12</v>
      </c>
      <c r="F55" s="26"/>
      <c r="G55" s="366"/>
      <c r="H55" s="22" t="s">
        <v>12</v>
      </c>
      <c r="I55" s="26"/>
      <c r="J55" s="366"/>
      <c r="K55" s="22" t="s">
        <v>12</v>
      </c>
      <c r="L55" s="26"/>
      <c r="M55" s="366"/>
      <c r="N55" s="22" t="s">
        <v>12</v>
      </c>
      <c r="O55" s="26"/>
      <c r="P55" s="366"/>
      <c r="Q55" s="22" t="s">
        <v>12</v>
      </c>
      <c r="R55" s="26"/>
      <c r="S55" s="366"/>
    </row>
    <row r="56" spans="1:19" ht="12.75" customHeight="1" x14ac:dyDescent="0.25">
      <c r="A56" s="376" t="str">
        <f>IFERROR(IF(MONTH(A54+1)&lt;&gt;MONTH(A54), "", A54+1),"")</f>
        <v/>
      </c>
      <c r="B56" s="28" t="s">
        <v>76</v>
      </c>
      <c r="C56" s="222"/>
      <c r="D56" s="354" t="s">
        <v>76</v>
      </c>
      <c r="E56" s="28" t="s">
        <v>76</v>
      </c>
      <c r="F56" s="222"/>
      <c r="G56" s="377" t="s">
        <v>76</v>
      </c>
      <c r="H56" s="28" t="s">
        <v>76</v>
      </c>
      <c r="I56" s="222"/>
      <c r="J56" s="377" t="s">
        <v>76</v>
      </c>
      <c r="K56" s="28" t="s">
        <v>76</v>
      </c>
      <c r="L56" s="222"/>
      <c r="M56" s="377" t="s">
        <v>76</v>
      </c>
      <c r="N56" s="28" t="s">
        <v>76</v>
      </c>
      <c r="O56" s="222"/>
      <c r="P56" s="377" t="s">
        <v>76</v>
      </c>
      <c r="Q56" s="28" t="s">
        <v>76</v>
      </c>
      <c r="R56" s="222"/>
      <c r="S56" s="377" t="s">
        <v>76</v>
      </c>
    </row>
    <row r="57" spans="1:19" ht="12.75" customHeight="1" x14ac:dyDescent="0.25">
      <c r="A57" s="364"/>
      <c r="B57" s="22" t="s">
        <v>12</v>
      </c>
      <c r="C57" s="26"/>
      <c r="D57" s="354"/>
      <c r="E57" s="22" t="s">
        <v>12</v>
      </c>
      <c r="F57" s="26"/>
      <c r="G57" s="366"/>
      <c r="H57" s="22" t="s">
        <v>12</v>
      </c>
      <c r="I57" s="26"/>
      <c r="J57" s="366"/>
      <c r="K57" s="22" t="s">
        <v>12</v>
      </c>
      <c r="L57" s="26"/>
      <c r="M57" s="366"/>
      <c r="N57" s="22" t="s">
        <v>12</v>
      </c>
      <c r="O57" s="26"/>
      <c r="P57" s="366"/>
      <c r="Q57" s="22" t="s">
        <v>12</v>
      </c>
      <c r="R57" s="26"/>
      <c r="S57" s="366"/>
    </row>
    <row r="58" spans="1:19" ht="12.75" customHeight="1" x14ac:dyDescent="0.25">
      <c r="A58" s="376" t="str">
        <f>IFERROR(IF(MONTH(A56+1)&lt;&gt;MONTH(A56), "", A56+1),"")</f>
        <v/>
      </c>
      <c r="B58" s="28" t="s">
        <v>76</v>
      </c>
      <c r="C58" s="222"/>
      <c r="D58" s="354" t="s">
        <v>76</v>
      </c>
      <c r="E58" s="28" t="s">
        <v>76</v>
      </c>
      <c r="F58" s="222"/>
      <c r="G58" s="377" t="s">
        <v>76</v>
      </c>
      <c r="H58" s="28" t="s">
        <v>76</v>
      </c>
      <c r="I58" s="222"/>
      <c r="J58" s="377" t="s">
        <v>76</v>
      </c>
      <c r="K58" s="28" t="s">
        <v>76</v>
      </c>
      <c r="L58" s="222"/>
      <c r="M58" s="377" t="s">
        <v>76</v>
      </c>
      <c r="N58" s="28" t="s">
        <v>76</v>
      </c>
      <c r="O58" s="222"/>
      <c r="P58" s="377" t="s">
        <v>76</v>
      </c>
      <c r="Q58" s="28" t="s">
        <v>76</v>
      </c>
      <c r="R58" s="222"/>
      <c r="S58" s="377" t="s">
        <v>76</v>
      </c>
    </row>
    <row r="59" spans="1:19" ht="12.75" customHeight="1" thickBot="1" x14ac:dyDescent="0.3">
      <c r="A59" s="383"/>
      <c r="B59" s="23" t="s">
        <v>12</v>
      </c>
      <c r="C59" s="27"/>
      <c r="D59" s="367"/>
      <c r="E59" s="23" t="s">
        <v>12</v>
      </c>
      <c r="F59" s="27"/>
      <c r="G59" s="382"/>
      <c r="H59" s="23" t="s">
        <v>12</v>
      </c>
      <c r="I59" s="27"/>
      <c r="J59" s="382"/>
      <c r="K59" s="23" t="s">
        <v>12</v>
      </c>
      <c r="L59" s="27"/>
      <c r="M59" s="382"/>
      <c r="N59" s="23" t="s">
        <v>12</v>
      </c>
      <c r="O59" s="27"/>
      <c r="P59" s="382"/>
      <c r="Q59" s="23" t="s">
        <v>12</v>
      </c>
      <c r="R59" s="27"/>
      <c r="S59" s="382"/>
    </row>
    <row r="60" spans="1:19" ht="12.75" hidden="1" customHeight="1" x14ac:dyDescent="0.25">
      <c r="A60" s="380" t="str">
        <f>IFERROR(IF(MONTH(A58+1)&lt;&gt;MONTH(A58), "", A58+1),"")</f>
        <v/>
      </c>
      <c r="B60" s="29" t="s">
        <v>76</v>
      </c>
      <c r="C60" s="223"/>
      <c r="D60" s="366" t="s">
        <v>76</v>
      </c>
      <c r="E60" s="29" t="s">
        <v>76</v>
      </c>
      <c r="F60" s="223"/>
      <c r="G60" s="379" t="s">
        <v>76</v>
      </c>
      <c r="H60" s="29" t="s">
        <v>76</v>
      </c>
      <c r="I60" s="223"/>
      <c r="J60" s="379" t="s">
        <v>76</v>
      </c>
      <c r="K60" s="29" t="s">
        <v>76</v>
      </c>
      <c r="L60" s="223"/>
      <c r="M60" s="379" t="s">
        <v>76</v>
      </c>
      <c r="N60" s="29" t="s">
        <v>76</v>
      </c>
      <c r="O60" s="223"/>
      <c r="P60" s="379" t="s">
        <v>76</v>
      </c>
      <c r="Q60" s="29" t="s">
        <v>76</v>
      </c>
      <c r="R60" s="223"/>
      <c r="S60" s="379" t="s">
        <v>76</v>
      </c>
    </row>
    <row r="61" spans="1:19" ht="12.75" hidden="1" customHeight="1" thickBot="1" x14ac:dyDescent="0.3">
      <c r="A61" s="381"/>
      <c r="B61" s="283" t="s">
        <v>12</v>
      </c>
      <c r="C61" s="27"/>
      <c r="D61" s="367"/>
      <c r="E61" s="283" t="s">
        <v>12</v>
      </c>
      <c r="F61" s="27"/>
      <c r="G61" s="382"/>
      <c r="H61" s="283" t="s">
        <v>12</v>
      </c>
      <c r="I61" s="27"/>
      <c r="J61" s="382"/>
      <c r="K61" s="283" t="s">
        <v>12</v>
      </c>
      <c r="L61" s="27"/>
      <c r="M61" s="382"/>
      <c r="N61" s="283" t="s">
        <v>12</v>
      </c>
      <c r="O61" s="27"/>
      <c r="P61" s="382"/>
      <c r="Q61" s="283" t="s">
        <v>12</v>
      </c>
      <c r="R61" s="27"/>
      <c r="S61" s="382"/>
    </row>
    <row r="62" spans="1:19" ht="12.75" hidden="1" customHeight="1" x14ac:dyDescent="0.25">
      <c r="A62" s="380" t="str">
        <f>IFERROR(IF(MONTH(A60+1)&lt;&gt;MONTH(A60), "", A60+1),"")</f>
        <v/>
      </c>
      <c r="B62" s="29" t="s">
        <v>76</v>
      </c>
      <c r="C62" s="223"/>
      <c r="D62" s="366" t="s">
        <v>76</v>
      </c>
      <c r="E62" s="29" t="s">
        <v>76</v>
      </c>
      <c r="F62" s="223"/>
      <c r="G62" s="379" t="s">
        <v>76</v>
      </c>
      <c r="H62" s="29" t="s">
        <v>76</v>
      </c>
      <c r="I62" s="223"/>
      <c r="J62" s="379" t="s">
        <v>76</v>
      </c>
      <c r="K62" s="29" t="s">
        <v>76</v>
      </c>
      <c r="L62" s="223"/>
      <c r="M62" s="379" t="s">
        <v>76</v>
      </c>
      <c r="N62" s="29" t="s">
        <v>76</v>
      </c>
      <c r="O62" s="223"/>
      <c r="P62" s="379" t="s">
        <v>76</v>
      </c>
      <c r="Q62" s="29" t="s">
        <v>76</v>
      </c>
      <c r="R62" s="223"/>
      <c r="S62" s="379" t="s">
        <v>76</v>
      </c>
    </row>
    <row r="63" spans="1:19" ht="12.75" hidden="1" customHeight="1" thickBot="1" x14ac:dyDescent="0.3">
      <c r="A63" s="381"/>
      <c r="B63" s="283" t="s">
        <v>12</v>
      </c>
      <c r="C63" s="27"/>
      <c r="D63" s="367"/>
      <c r="E63" s="283" t="s">
        <v>12</v>
      </c>
      <c r="F63" s="27"/>
      <c r="G63" s="382"/>
      <c r="H63" s="283" t="s">
        <v>12</v>
      </c>
      <c r="I63" s="27"/>
      <c r="J63" s="382"/>
      <c r="K63" s="283" t="s">
        <v>12</v>
      </c>
      <c r="L63" s="27"/>
      <c r="M63" s="382"/>
      <c r="N63" s="283" t="s">
        <v>12</v>
      </c>
      <c r="O63" s="27"/>
      <c r="P63" s="382"/>
      <c r="Q63" s="283" t="s">
        <v>12</v>
      </c>
      <c r="R63" s="27"/>
      <c r="S63" s="382"/>
    </row>
    <row r="64" spans="1:19" ht="12.75" hidden="1" customHeight="1" x14ac:dyDescent="0.25">
      <c r="A64" s="380" t="str">
        <f>IFERROR(IF(MONTH(A62+1)&lt;&gt;MONTH(A62), "", A62+1),"")</f>
        <v/>
      </c>
      <c r="B64" s="29" t="s">
        <v>76</v>
      </c>
      <c r="C64" s="223"/>
      <c r="D64" s="366" t="s">
        <v>76</v>
      </c>
      <c r="E64" s="29" t="s">
        <v>76</v>
      </c>
      <c r="F64" s="223"/>
      <c r="G64" s="379" t="s">
        <v>76</v>
      </c>
      <c r="H64" s="29" t="s">
        <v>76</v>
      </c>
      <c r="I64" s="223"/>
      <c r="J64" s="379" t="s">
        <v>76</v>
      </c>
      <c r="K64" s="29" t="s">
        <v>76</v>
      </c>
      <c r="L64" s="223"/>
      <c r="M64" s="379" t="s">
        <v>76</v>
      </c>
      <c r="N64" s="29" t="s">
        <v>76</v>
      </c>
      <c r="O64" s="223"/>
      <c r="P64" s="379" t="s">
        <v>76</v>
      </c>
      <c r="Q64" s="29" t="s">
        <v>76</v>
      </c>
      <c r="R64" s="223"/>
      <c r="S64" s="379" t="s">
        <v>76</v>
      </c>
    </row>
    <row r="65" spans="1:19" ht="12.75" hidden="1" customHeight="1" thickBot="1" x14ac:dyDescent="0.3">
      <c r="A65" s="381"/>
      <c r="B65" s="283" t="s">
        <v>12</v>
      </c>
      <c r="C65" s="27"/>
      <c r="D65" s="367"/>
      <c r="E65" s="283" t="s">
        <v>12</v>
      </c>
      <c r="F65" s="27"/>
      <c r="G65" s="382"/>
      <c r="H65" s="283" t="s">
        <v>12</v>
      </c>
      <c r="I65" s="27"/>
      <c r="J65" s="382"/>
      <c r="K65" s="283" t="s">
        <v>12</v>
      </c>
      <c r="L65" s="27"/>
      <c r="M65" s="382"/>
      <c r="N65" s="283" t="s">
        <v>12</v>
      </c>
      <c r="O65" s="27"/>
      <c r="P65" s="382"/>
      <c r="Q65" s="283" t="s">
        <v>12</v>
      </c>
      <c r="R65" s="27"/>
      <c r="S65" s="382"/>
    </row>
    <row r="66" spans="1:19" ht="12.75" customHeight="1" thickBot="1" x14ac:dyDescent="0.3">
      <c r="A66" s="24"/>
      <c r="B66" s="7"/>
      <c r="C66" s="7"/>
      <c r="D66" s="7"/>
      <c r="E66" s="7"/>
      <c r="F66" s="7"/>
      <c r="G66" s="7"/>
      <c r="H66" s="7"/>
      <c r="I66" s="7"/>
      <c r="J66" s="7"/>
      <c r="K66" s="8"/>
      <c r="L66" s="8"/>
      <c r="M66" s="8"/>
      <c r="N66" s="8"/>
      <c r="O66" s="8"/>
      <c r="P66" s="8"/>
      <c r="Q66" s="8"/>
      <c r="R66" s="8"/>
      <c r="S66" s="25"/>
    </row>
    <row r="67" spans="1:19" ht="12.75" customHeight="1" thickBot="1" x14ac:dyDescent="0.3">
      <c r="A67" s="12"/>
      <c r="B67" s="6"/>
      <c r="C67" s="9" t="s">
        <v>13</v>
      </c>
      <c r="D67" s="7"/>
      <c r="E67" s="7"/>
      <c r="F67" s="7"/>
      <c r="G67" s="7"/>
      <c r="H67" s="7"/>
      <c r="I67" s="7"/>
      <c r="J67" s="7"/>
      <c r="K67" s="8"/>
      <c r="L67" s="8"/>
      <c r="M67" s="8"/>
      <c r="N67" s="8"/>
      <c r="O67" s="8"/>
      <c r="P67" s="8"/>
      <c r="Q67" s="8"/>
      <c r="R67" s="8"/>
      <c r="S67" s="25"/>
    </row>
    <row r="68" spans="1:19" ht="12.75" customHeight="1" thickBot="1" x14ac:dyDescent="0.3">
      <c r="A68" s="14"/>
      <c r="B68" s="15"/>
      <c r="C68" s="15"/>
      <c r="D68" s="15"/>
      <c r="E68" s="15"/>
      <c r="F68" s="15"/>
      <c r="G68" s="15"/>
      <c r="H68" s="15"/>
      <c r="I68" s="15"/>
      <c r="J68" s="15"/>
      <c r="K68" s="15"/>
      <c r="L68" s="15"/>
      <c r="M68" s="15"/>
      <c r="N68" s="15"/>
      <c r="O68" s="15"/>
      <c r="P68" s="15"/>
      <c r="Q68" s="15"/>
      <c r="R68" s="15"/>
      <c r="S68" s="16"/>
    </row>
  </sheetData>
  <sheetProtection algorithmName="SHA-512" hashValue="DIbWNT73CWADPtD1ms4Ubl1NYpLKcUYfahOOAEnXRlzJ9EnBmf2Boa2cCZVBTsnJNX8vZj4fC6m+tcYtV527jw==" saltValue="fydhZ0nIiVxZOxqUnRVUxg==" spinCount="100000" sheet="1" objects="1" scenarios="1" selectLockedCells="1" sort="0" autoFilter="0"/>
  <mergeCells count="224">
    <mergeCell ref="M64:M65"/>
    <mergeCell ref="P64:P65"/>
    <mergeCell ref="S64:S65"/>
    <mergeCell ref="K2:M2"/>
    <mergeCell ref="N2:P2"/>
    <mergeCell ref="Q2:S2"/>
    <mergeCell ref="M60:M61"/>
    <mergeCell ref="P60:P61"/>
    <mergeCell ref="S60:S61"/>
    <mergeCell ref="M62:M63"/>
    <mergeCell ref="P62:P63"/>
    <mergeCell ref="S62:S63"/>
    <mergeCell ref="M56:M57"/>
    <mergeCell ref="P56:P57"/>
    <mergeCell ref="S56:S57"/>
    <mergeCell ref="M58:M59"/>
    <mergeCell ref="P58:P59"/>
    <mergeCell ref="S58:S59"/>
    <mergeCell ref="M52:M53"/>
    <mergeCell ref="P52:P53"/>
    <mergeCell ref="S52:S53"/>
    <mergeCell ref="M54:M55"/>
    <mergeCell ref="P54:P55"/>
    <mergeCell ref="S54:S55"/>
    <mergeCell ref="M48:M49"/>
    <mergeCell ref="P48:P49"/>
    <mergeCell ref="S48:S49"/>
    <mergeCell ref="M50:M51"/>
    <mergeCell ref="P50:P51"/>
    <mergeCell ref="S50:S51"/>
    <mergeCell ref="M44:M45"/>
    <mergeCell ref="P44:P45"/>
    <mergeCell ref="S44:S45"/>
    <mergeCell ref="M46:M47"/>
    <mergeCell ref="P46:P47"/>
    <mergeCell ref="S46:S47"/>
    <mergeCell ref="M40:M41"/>
    <mergeCell ref="P40:P41"/>
    <mergeCell ref="S40:S41"/>
    <mergeCell ref="M42:M43"/>
    <mergeCell ref="P42:P43"/>
    <mergeCell ref="S42:S43"/>
    <mergeCell ref="M36:M37"/>
    <mergeCell ref="P36:P37"/>
    <mergeCell ref="S36:S37"/>
    <mergeCell ref="M38:M39"/>
    <mergeCell ref="P38:P39"/>
    <mergeCell ref="S38:S39"/>
    <mergeCell ref="M32:M33"/>
    <mergeCell ref="P32:P33"/>
    <mergeCell ref="S32:S33"/>
    <mergeCell ref="M34:M35"/>
    <mergeCell ref="P34:P35"/>
    <mergeCell ref="S34:S35"/>
    <mergeCell ref="M28:M29"/>
    <mergeCell ref="P28:P29"/>
    <mergeCell ref="S28:S29"/>
    <mergeCell ref="M30:M31"/>
    <mergeCell ref="P30:P31"/>
    <mergeCell ref="S30:S31"/>
    <mergeCell ref="M24:M25"/>
    <mergeCell ref="P24:P25"/>
    <mergeCell ref="S24:S25"/>
    <mergeCell ref="M26:M27"/>
    <mergeCell ref="P26:P27"/>
    <mergeCell ref="S26:S27"/>
    <mergeCell ref="M20:M21"/>
    <mergeCell ref="P20:P21"/>
    <mergeCell ref="S20:S21"/>
    <mergeCell ref="M22:M23"/>
    <mergeCell ref="P22:P23"/>
    <mergeCell ref="S22:S23"/>
    <mergeCell ref="M16:M17"/>
    <mergeCell ref="P16:P17"/>
    <mergeCell ref="S16:S17"/>
    <mergeCell ref="M18:M19"/>
    <mergeCell ref="P18:P19"/>
    <mergeCell ref="S18:S19"/>
    <mergeCell ref="M12:M13"/>
    <mergeCell ref="P12:P13"/>
    <mergeCell ref="S12:S13"/>
    <mergeCell ref="M14:M15"/>
    <mergeCell ref="P14:P15"/>
    <mergeCell ref="S14:S15"/>
    <mergeCell ref="M10:M11"/>
    <mergeCell ref="P10:P11"/>
    <mergeCell ref="S10:S11"/>
    <mergeCell ref="M4:M5"/>
    <mergeCell ref="P4:P5"/>
    <mergeCell ref="S4:S5"/>
    <mergeCell ref="M6:M7"/>
    <mergeCell ref="P6:P7"/>
    <mergeCell ref="S6:S7"/>
    <mergeCell ref="A62:A63"/>
    <mergeCell ref="D62:D63"/>
    <mergeCell ref="G62:G63"/>
    <mergeCell ref="J62:J63"/>
    <mergeCell ref="A64:A65"/>
    <mergeCell ref="D64:D65"/>
    <mergeCell ref="G64:G65"/>
    <mergeCell ref="J64:J65"/>
    <mergeCell ref="A58:A59"/>
    <mergeCell ref="D58:D59"/>
    <mergeCell ref="G58:G59"/>
    <mergeCell ref="J58:J59"/>
    <mergeCell ref="A60:A61"/>
    <mergeCell ref="D60:D61"/>
    <mergeCell ref="G60:G61"/>
    <mergeCell ref="J60:J61"/>
    <mergeCell ref="A54:A55"/>
    <mergeCell ref="D54:D55"/>
    <mergeCell ref="G54:G55"/>
    <mergeCell ref="J54:J55"/>
    <mergeCell ref="A56:A57"/>
    <mergeCell ref="D56:D57"/>
    <mergeCell ref="G56:G57"/>
    <mergeCell ref="J56:J57"/>
    <mergeCell ref="A50:A51"/>
    <mergeCell ref="D50:D51"/>
    <mergeCell ref="G50:G51"/>
    <mergeCell ref="J50:J51"/>
    <mergeCell ref="A52:A53"/>
    <mergeCell ref="D52:D53"/>
    <mergeCell ref="G52:G53"/>
    <mergeCell ref="J52:J53"/>
    <mergeCell ref="A46:A47"/>
    <mergeCell ref="D46:D47"/>
    <mergeCell ref="G46:G47"/>
    <mergeCell ref="J46:J47"/>
    <mergeCell ref="A48:A49"/>
    <mergeCell ref="D48:D49"/>
    <mergeCell ref="G48:G49"/>
    <mergeCell ref="J48:J49"/>
    <mergeCell ref="A42:A43"/>
    <mergeCell ref="D42:D43"/>
    <mergeCell ref="G42:G43"/>
    <mergeCell ref="J42:J43"/>
    <mergeCell ref="A44:A45"/>
    <mergeCell ref="D44:D45"/>
    <mergeCell ref="G44:G45"/>
    <mergeCell ref="J44:J45"/>
    <mergeCell ref="A38:A39"/>
    <mergeCell ref="D38:D39"/>
    <mergeCell ref="G38:G39"/>
    <mergeCell ref="J38:J39"/>
    <mergeCell ref="A40:A41"/>
    <mergeCell ref="D40:D41"/>
    <mergeCell ref="G40:G41"/>
    <mergeCell ref="J40:J41"/>
    <mergeCell ref="A34:A35"/>
    <mergeCell ref="D34:D35"/>
    <mergeCell ref="G34:G35"/>
    <mergeCell ref="J34:J35"/>
    <mergeCell ref="A36:A37"/>
    <mergeCell ref="D36:D37"/>
    <mergeCell ref="G36:G37"/>
    <mergeCell ref="J36:J37"/>
    <mergeCell ref="A30:A31"/>
    <mergeCell ref="D30:D31"/>
    <mergeCell ref="G30:G31"/>
    <mergeCell ref="J30:J31"/>
    <mergeCell ref="A32:A33"/>
    <mergeCell ref="D32:D33"/>
    <mergeCell ref="G32:G33"/>
    <mergeCell ref="J32:J33"/>
    <mergeCell ref="A26:A27"/>
    <mergeCell ref="D26:D27"/>
    <mergeCell ref="G26:G27"/>
    <mergeCell ref="J26:J27"/>
    <mergeCell ref="A28:A29"/>
    <mergeCell ref="D28:D29"/>
    <mergeCell ref="G28:G29"/>
    <mergeCell ref="J28:J29"/>
    <mergeCell ref="A22:A23"/>
    <mergeCell ref="D22:D23"/>
    <mergeCell ref="G22:G23"/>
    <mergeCell ref="J22:J23"/>
    <mergeCell ref="A24:A25"/>
    <mergeCell ref="D24:D25"/>
    <mergeCell ref="G24:G25"/>
    <mergeCell ref="J24:J25"/>
    <mergeCell ref="A18:A19"/>
    <mergeCell ref="D18:D19"/>
    <mergeCell ref="G18:G19"/>
    <mergeCell ref="J18:J19"/>
    <mergeCell ref="A20:A21"/>
    <mergeCell ref="D20:D21"/>
    <mergeCell ref="G20:G21"/>
    <mergeCell ref="J20:J21"/>
    <mergeCell ref="A14:A15"/>
    <mergeCell ref="D14:D15"/>
    <mergeCell ref="G14:G15"/>
    <mergeCell ref="J14:J15"/>
    <mergeCell ref="A16:A17"/>
    <mergeCell ref="D16:D17"/>
    <mergeCell ref="G16:G17"/>
    <mergeCell ref="J16:J17"/>
    <mergeCell ref="A10:A11"/>
    <mergeCell ref="D10:D11"/>
    <mergeCell ref="G10:G11"/>
    <mergeCell ref="J10:J11"/>
    <mergeCell ref="A12:A13"/>
    <mergeCell ref="D12:D13"/>
    <mergeCell ref="G12:G13"/>
    <mergeCell ref="J12:J13"/>
    <mergeCell ref="A1:S1"/>
    <mergeCell ref="A6:A7"/>
    <mergeCell ref="D6:D7"/>
    <mergeCell ref="G6:G7"/>
    <mergeCell ref="J6:J7"/>
    <mergeCell ref="A8:A9"/>
    <mergeCell ref="D8:D9"/>
    <mergeCell ref="G8:G9"/>
    <mergeCell ref="J8:J9"/>
    <mergeCell ref="B2:D2"/>
    <mergeCell ref="E2:G2"/>
    <mergeCell ref="H2:J2"/>
    <mergeCell ref="A4:A5"/>
    <mergeCell ref="D4:D5"/>
    <mergeCell ref="G4:G5"/>
    <mergeCell ref="J4:J5"/>
    <mergeCell ref="M8:M9"/>
    <mergeCell ref="P8:P9"/>
    <mergeCell ref="S8:S9"/>
  </mergeCells>
  <conditionalFormatting sqref="B60:R65">
    <cfRule type="expression" dxfId="45" priority="1">
      <formula>IFERROR(INDIRECT("A"&amp;SUM(ODD(ROW())-1))="", TRUE)</formula>
    </cfRule>
  </conditionalFormatting>
  <conditionalFormatting sqref="A60:A65">
    <cfRule type="expression" dxfId="44" priority="3">
      <formula>IFERROR(INDIRECT("A"&amp;SUM(ODD(ROW())-1))="", TRUE)</formula>
    </cfRule>
  </conditionalFormatting>
  <conditionalFormatting sqref="A60:S65">
    <cfRule type="expression" dxfId="43" priority="4">
      <formula>NOT(IFERROR(INDIRECT("A"&amp;SUM(ODD(ROW())-1))="", TRUE))</formula>
    </cfRule>
  </conditionalFormatting>
  <conditionalFormatting sqref="B4:S65">
    <cfRule type="containsBlanks" dxfId="42" priority="5">
      <formula>LEN(TRIM(B4))=0</formula>
    </cfRule>
  </conditionalFormatting>
  <conditionalFormatting sqref="S60:S65">
    <cfRule type="expression" dxfId="41" priority="2">
      <formula>IFERROR(INDIRECT("A"&amp;SUM(ODD(ROW())-1))="", TRUE)</formula>
    </cfRule>
  </conditionalFormatting>
  <dataValidations count="9">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DepDD_S4_DP02</formula1>
    </dataValidation>
    <dataValidation type="list" allowBlank="1" showInputMessage="1" showErrorMessage="1" errorTitle="Input Error" error="Please use the drop down box to select your rank." sqref="Q4 Q6 Q8 Q10 Q12 Q14 Q16 Q18 Q20 Q22 Q24 Q26 Q28 Q30 Q32 Q34 Q36 Q38 Q40 Q42 Q44 Q46 Q48 Q50 Q52 Q54 Q56 Q58 Q60 Q62 Q64">
      <formula1>DepDD_S4_DP06</formula1>
    </dataValidation>
    <dataValidation type="list" allowBlank="1" showInputMessage="1" showErrorMessage="1" errorTitle="Input Error" error="Please use the drop down box to select your company." sqref="D4:D65 G4:G65 J4:J65 M4:M65 P4:P65 S4:S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L4 L6 L8 L10 L12 L14 L16 L18 L20 L22 L24 L26 L28 L30 L32 L34 L36 L38 L40 L42 L44 L46 L48 L50 L52 L54 L56 L58 L60 L62 L64 O4 O6 O8 O10 O12 O14 O16 O18 O20 O22 O24 O26 O28 O30 O32 O34 O36 O38 O40 O42 O44 O46 O48 O50 O52 O54 O56 O58 O60 O62 O64 R4 R6 R8 R10 R12 R14 R16 R18 R20 R22 R24 R26 R28 R30 R32 R34 R36 R38 R40 R42 R44 R46 R48 R50 R52 R54 R56 R58 R60 R62 R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5 C63 F5 F7 F9 F11 F13 F15 F17 F19 F21 F23 F25 F27 F29 F31 F33 F35 F37 F39 F41 F43 F45 F47 F49 F51 F53 F55 F57 F59 F61 F65 F63 I5 I7 I9 I11 I13 I15 I17 I19 I21 I23 I25 I27 I29 I31 I33 I35 I37 I39 I41 I43 I45 I47 I49 I51 I53 I55 I57 I59 I61 I65 I63 L5 L7 L9 L11 L13 L15 L17 L19 L21 L23 L25 L27 L29 L31 L33 L35 L37 L39 L41 L43 L45 L47 L49 L51 L53 L55 L57 L59 L61 L65 L63 O5 O7 O9 O11 O13 O15 O17 O19 O21 O23 O25 O27 O29 O31 O33 O35 O37 O39 O41 O43 O45 O47 O49 O51 O53 O55 O57 O59 O61 O65 O63 R5 R7 R9 R11 R13 R15 R17 R19 R21 R23 R25 R27 R29 R31 R33 R35 R37 R39 R41 R43 R45 R47 R49 R51 R53 R55 R57 R59 R61 R65 R63">
      <formula1>ISNUMBER(CELL("contents",INDIRECT(ADDRESS(ROW(),COLUMN()))))</formula1>
    </dataValidation>
    <dataValidation type="list" allowBlank="1" showInputMessage="1" showErrorMessage="1" errorTitle="Input Error" error="Please use the drop down box to select your rank." sqref="B64 B62 B60 B58 B56 B54 B52 B50 B48 B46 B44 B42 B40 B38 B36 B34 B32 B30 B28 B26 B24 B22 B20 B18 B16 B14 B12 B10 B8 B6 B4">
      <formula1>DepDD_S4_DP01</formula1>
    </dataValidation>
    <dataValidation type="list" allowBlank="1" showInputMessage="1" showErrorMessage="1" errorTitle="Input Error" error="Please use the drop down box to select your rank." sqref="H64 H62 H60 H58 H56 H54 H52 H50 H48 H46 H44 H42 H40 H38 H36 H34 H32 H30 H28 H26 H24 H22 H20 H18 H16 H14 H12 H10 H8 H6 H4">
      <formula1>DepDD_S4_DP03</formula1>
    </dataValidation>
    <dataValidation type="list" allowBlank="1" showInputMessage="1" showErrorMessage="1" errorTitle="Input Error" error="Please use the drop down box to select your rank." sqref="K4 K6 K8 K10 K12 K14 K16 K18 K20 K22 K24 K26 K28 K30 K32 K34 K36 K38 K40 K42 K44 K46 K48 K50 K52 K54 K56 K58 K60 K62 K64">
      <formula1>DepDD_S4_DP04</formula1>
    </dataValidation>
    <dataValidation type="list" allowBlank="1" showInputMessage="1" showErrorMessage="1" errorTitle="Input Error" error="Please use the drop down box to select your rank." sqref="N64 N62 N60 N58 N56 N54 N52 N50 N48 N46 N44 N42 N40 N38 N36 N34 N32 N30 N28 N26 N24 N22 N20 N18 N16 N14 N12 N10 N8 N6 N4">
      <formula1>DepDD_S4_DP05</formula1>
    </dataValidation>
  </dataValidations>
  <pageMargins left="0.7" right="0.7" top="0.75" bottom="0.75" header="0.3" footer="0.3"/>
  <pageSetup scale="46" orientation="landscape" r:id="rId1"/>
  <extLst>
    <ext xmlns:x14="http://schemas.microsoft.com/office/spreadsheetml/2009/9/main" uri="{78C0D931-6437-407d-A8EE-F0AAD7539E65}">
      <x14:conditionalFormattings>
        <x14:conditionalFormatting xmlns:xm="http://schemas.microsoft.com/office/excel/2006/main">
          <x14:cfRule type="containsText" priority="7" operator="containsText" id="{6867C1CB-0006-41A4-9F81-94143A5E382D}">
            <xm:f>NOT(ISERROR(SEARCH(DevMode!$I$12,Sheet2!D4)))</xm:f>
            <xm:f>DevMode!$I$12</xm:f>
            <x14:dxf>
              <font>
                <color theme="1"/>
              </font>
              <fill>
                <patternFill>
                  <bgColor theme="4"/>
                </patternFill>
              </fill>
            </x14:dxf>
          </x14:cfRule>
          <x14:cfRule type="containsText" priority="8" operator="containsText" id="{C43DB199-46DB-4323-95D6-DADB30F2D660}">
            <xm:f>NOT(ISERROR(SEARCH(DevMode!$I$13,Sheet2!D4)))</xm:f>
            <xm:f>DevMode!$I$13</xm:f>
            <x14:dxf>
              <font>
                <color theme="1"/>
              </font>
              <fill>
                <patternFill>
                  <bgColor theme="7"/>
                </patternFill>
              </fill>
            </x14:dxf>
          </x14:cfRule>
          <x14:cfRule type="containsText" priority="9" operator="containsText" id="{0CB8DF1C-F7B7-46F2-9A63-89653C524F5A}">
            <xm:f>NOT(ISERROR(SEARCH(DevMode!$I$18,Sheet2!D4)))</xm:f>
            <xm:f>DevMode!$I$18</xm:f>
            <x14:dxf>
              <font>
                <color theme="1"/>
              </font>
              <fill>
                <patternFill>
                  <bgColor theme="3"/>
                </patternFill>
              </fill>
            </x14:dxf>
          </x14:cfRule>
          <x14:cfRule type="containsText" priority="10" operator="containsText" id="{25500D9F-E15C-4D96-8EBE-4734A283DC9C}">
            <xm:f>NOT(ISERROR(SEARCH(DevMode!$I$14,Sheet2!D4)))</xm:f>
            <xm:f>DevMode!$I$14</xm:f>
            <x14:dxf>
              <font>
                <color theme="1"/>
              </font>
              <fill>
                <patternFill>
                  <bgColor theme="9"/>
                </patternFill>
              </fill>
            </x14:dxf>
          </x14:cfRule>
          <x14:cfRule type="containsText" priority="11" operator="containsText" id="{3CFEC7A5-2241-40C0-8D52-BC6991C39B29}">
            <xm:f>NOT(ISERROR(SEARCH(DevMode!$I$15,Sheet2!D4)))</xm:f>
            <xm:f>DevMode!$I$15</xm:f>
            <x14:dxf>
              <font>
                <color theme="1"/>
              </font>
              <fill>
                <patternFill>
                  <bgColor rgb="FF7030A0"/>
                </patternFill>
              </fill>
            </x14:dxf>
          </x14:cfRule>
          <x14:cfRule type="containsText" priority="12" operator="containsText" id="{BED916CD-129A-46D9-8090-81E5017FCC59}">
            <xm:f>NOT(ISERROR(SEARCH(DevMode!$I$16,Sheet2!D4)))</xm:f>
            <xm:f>DevMode!$I$16</xm:f>
            <x14:dxf>
              <font>
                <color theme="0"/>
              </font>
              <fill>
                <patternFill>
                  <bgColor theme="1"/>
                </patternFill>
              </fill>
            </x14:dxf>
          </x14:cfRule>
          <x14:cfRule type="containsText" priority="13" operator="containsText" id="{8C42D450-1375-4903-81D4-84236A378EDA}">
            <xm:f>NOT(ISERROR(SEARCH(DevMode!$I$17,Sheet2!D4)))</xm:f>
            <xm:f>DevMode!$I$17</xm:f>
            <x14:dxf>
              <font>
                <color theme="1"/>
              </font>
              <fill>
                <patternFill>
                  <bgColor rgb="FFFF0000"/>
                </patternFill>
              </fill>
            </x14:dxf>
          </x14:cfRule>
          <xm:sqref>S4:S65 P4:P65 M4:M65 J4:J65 G4:G65 D4:D65</xm:sqref>
        </x14:conditionalFormatting>
        <x14:conditionalFormatting xmlns:xm="http://schemas.microsoft.com/office/excel/2006/main">
          <x14:cfRule type="expression" priority="6" id="{D52D5ADA-FEAB-485E-8595-0C2294906A51}">
            <xm:f>OR(WEEKDAY(INDIRECT("A"&amp;SUM(ODD(ROW())-1)))=1,WEEKDAY(INDIRECT("A"&amp;SUM(ODD(ROW())-1)))=7,COUNTIFS(Summary!$K$44:$K$53,"&lt;"&amp;INDIRECT("A"&amp;SUM(ODD(ROW())-1)),Summary!$L$44:$L$53,"&gt;"&amp;INDIRECT("A"&amp;SUM(ODD(ROW())-1)))&gt;0)</xm:f>
            <x14:dxf>
              <font>
                <color theme="1"/>
              </font>
              <fill>
                <patternFill>
                  <bgColor rgb="FFFFFF00"/>
                </patternFill>
              </fill>
            </x14:dxf>
          </x14:cfRule>
          <xm:sqref>A4:C65 H4:I64 E4:F65 I4:I65 K4:L65 N4:O65 Q4:R65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1" max="11" width="10" customWidth="1"/>
    <col min="12" max="12" width="27.140625" customWidth="1"/>
    <col min="13" max="13" width="5.7109375" customWidth="1"/>
  </cols>
  <sheetData>
    <row r="1" spans="1:13" ht="18.75" customHeight="1" thickBot="1" x14ac:dyDescent="0.3">
      <c r="A1" s="373" t="str">
        <f>DevMode!B51</f>
        <v>8th Communication Battalion FC-481 Duty Roster</v>
      </c>
      <c r="B1" s="374"/>
      <c r="C1" s="374"/>
      <c r="D1" s="374"/>
      <c r="E1" s="374"/>
      <c r="F1" s="374"/>
      <c r="G1" s="374"/>
      <c r="H1" s="374"/>
      <c r="I1" s="374"/>
      <c r="J1" s="374"/>
      <c r="K1" s="374"/>
      <c r="L1" s="374"/>
      <c r="M1" s="375"/>
    </row>
    <row r="2" spans="1:13" ht="12.75" customHeight="1" x14ac:dyDescent="0.25">
      <c r="A2" s="11" t="str">
        <f>TEXT(MASTER!B2&amp;" "&amp;MASTER!D2, "mmm-yy")</f>
        <v xml:space="preserve"> </v>
      </c>
      <c r="B2" s="358" t="str">
        <f>IF(DevMode!B52="","Unused",DevMode!B52)</f>
        <v>DNCO</v>
      </c>
      <c r="C2" s="359"/>
      <c r="D2" s="360"/>
      <c r="E2" s="358" t="str">
        <f>IF(DevMode!B54="","Unused",DevMode!B54)</f>
        <v>ADNCO</v>
      </c>
      <c r="F2" s="359"/>
      <c r="G2" s="361"/>
      <c r="H2" s="358" t="str">
        <f>IF(DevMode!B56="","Unused",DevMode!B56)</f>
        <v>FC 481 #1 (2100-0130)</v>
      </c>
      <c r="I2" s="359"/>
      <c r="J2" s="361"/>
      <c r="K2" s="358" t="str">
        <f>IF(DevMode!B58="","Unused",DevMode!B58)</f>
        <v>FC 481 #2 (0130-0600)</v>
      </c>
      <c r="L2" s="359"/>
      <c r="M2" s="361"/>
    </row>
    <row r="3" spans="1:13" ht="12.75" customHeight="1" thickBot="1" x14ac:dyDescent="0.3">
      <c r="A3" s="10" t="s">
        <v>10</v>
      </c>
      <c r="B3" s="18" t="s">
        <v>11</v>
      </c>
      <c r="C3" s="19" t="s">
        <v>14</v>
      </c>
      <c r="D3" s="20" t="s">
        <v>15</v>
      </c>
      <c r="E3" s="18" t="s">
        <v>11</v>
      </c>
      <c r="F3" s="19" t="s">
        <v>14</v>
      </c>
      <c r="G3" s="21" t="s">
        <v>15</v>
      </c>
      <c r="H3" s="18" t="s">
        <v>11</v>
      </c>
      <c r="I3" s="19" t="s">
        <v>14</v>
      </c>
      <c r="J3" s="21" t="s">
        <v>15</v>
      </c>
      <c r="K3" s="18" t="s">
        <v>11</v>
      </c>
      <c r="L3" s="19" t="s">
        <v>14</v>
      </c>
      <c r="M3" s="21" t="s">
        <v>15</v>
      </c>
    </row>
    <row r="4" spans="1:13" ht="12.75" customHeight="1" x14ac:dyDescent="0.25">
      <c r="A4" s="362" t="str">
        <f>IFERROR(VALUE(MASTER!B2&amp;" "&amp;"1, "&amp;MASTER!D2),"")</f>
        <v/>
      </c>
      <c r="B4" s="30" t="s">
        <v>76</v>
      </c>
      <c r="C4" s="221"/>
      <c r="D4" s="363" t="s">
        <v>76</v>
      </c>
      <c r="E4" s="30" t="s">
        <v>76</v>
      </c>
      <c r="F4" s="221"/>
      <c r="G4" s="363" t="s">
        <v>76</v>
      </c>
      <c r="H4" s="30" t="s">
        <v>76</v>
      </c>
      <c r="I4" s="221"/>
      <c r="J4" s="363" t="s">
        <v>76</v>
      </c>
      <c r="K4" s="30" t="s">
        <v>76</v>
      </c>
      <c r="L4" s="221"/>
      <c r="M4" s="363" t="s">
        <v>76</v>
      </c>
    </row>
    <row r="5" spans="1:13" ht="12.75" customHeight="1" x14ac:dyDescent="0.25">
      <c r="A5" s="353"/>
      <c r="B5" s="22" t="s">
        <v>12</v>
      </c>
      <c r="C5" s="26"/>
      <c r="D5" s="354"/>
      <c r="E5" s="22" t="s">
        <v>12</v>
      </c>
      <c r="F5" s="26"/>
      <c r="G5" s="354"/>
      <c r="H5" s="22" t="s">
        <v>12</v>
      </c>
      <c r="I5" s="26"/>
      <c r="J5" s="354"/>
      <c r="K5" s="22" t="s">
        <v>12</v>
      </c>
      <c r="L5" s="26"/>
      <c r="M5" s="354"/>
    </row>
    <row r="6" spans="1:13" ht="12.75" customHeight="1" x14ac:dyDescent="0.25">
      <c r="A6" s="353" t="str">
        <f>IFERROR(IF(MONTH(A4+1)&lt;&gt;MONTH(A4), "", A4+1),"")</f>
        <v/>
      </c>
      <c r="B6" s="28" t="s">
        <v>76</v>
      </c>
      <c r="C6" s="222"/>
      <c r="D6" s="354" t="s">
        <v>76</v>
      </c>
      <c r="E6" s="28" t="s">
        <v>76</v>
      </c>
      <c r="F6" s="222"/>
      <c r="G6" s="354" t="s">
        <v>76</v>
      </c>
      <c r="H6" s="28" t="s">
        <v>76</v>
      </c>
      <c r="I6" s="222"/>
      <c r="J6" s="354" t="s">
        <v>76</v>
      </c>
      <c r="K6" s="28" t="s">
        <v>76</v>
      </c>
      <c r="L6" s="222"/>
      <c r="M6" s="354" t="s">
        <v>76</v>
      </c>
    </row>
    <row r="7" spans="1:13" ht="12.75" customHeight="1" x14ac:dyDescent="0.25">
      <c r="A7" s="353"/>
      <c r="B7" s="22" t="s">
        <v>12</v>
      </c>
      <c r="C7" s="26"/>
      <c r="D7" s="354"/>
      <c r="E7" s="22" t="s">
        <v>12</v>
      </c>
      <c r="F7" s="26"/>
      <c r="G7" s="354"/>
      <c r="H7" s="22" t="s">
        <v>12</v>
      </c>
      <c r="I7" s="26"/>
      <c r="J7" s="354"/>
      <c r="K7" s="22" t="s">
        <v>12</v>
      </c>
      <c r="L7" s="26"/>
      <c r="M7" s="354"/>
    </row>
    <row r="8" spans="1:13" ht="12.75" customHeight="1" x14ac:dyDescent="0.25">
      <c r="A8" s="353" t="str">
        <f>IFERROR(IF(MONTH(A6+1)&lt;&gt;MONTH(A6), "", A6+1),"")</f>
        <v/>
      </c>
      <c r="B8" s="28" t="s">
        <v>76</v>
      </c>
      <c r="C8" s="222"/>
      <c r="D8" s="354" t="s">
        <v>76</v>
      </c>
      <c r="E8" s="28" t="s">
        <v>76</v>
      </c>
      <c r="F8" s="222"/>
      <c r="G8" s="354" t="s">
        <v>76</v>
      </c>
      <c r="H8" s="28" t="s">
        <v>76</v>
      </c>
      <c r="I8" s="222"/>
      <c r="J8" s="354" t="s">
        <v>76</v>
      </c>
      <c r="K8" s="28" t="s">
        <v>76</v>
      </c>
      <c r="L8" s="222"/>
      <c r="M8" s="354" t="s">
        <v>76</v>
      </c>
    </row>
    <row r="9" spans="1:13" ht="12.75" customHeight="1" x14ac:dyDescent="0.25">
      <c r="A9" s="353"/>
      <c r="B9" s="22" t="s">
        <v>12</v>
      </c>
      <c r="C9" s="26"/>
      <c r="D9" s="354"/>
      <c r="E9" s="22" t="s">
        <v>12</v>
      </c>
      <c r="F9" s="26"/>
      <c r="G9" s="354"/>
      <c r="H9" s="22" t="s">
        <v>12</v>
      </c>
      <c r="I9" s="26"/>
      <c r="J9" s="354"/>
      <c r="K9" s="22" t="s">
        <v>12</v>
      </c>
      <c r="L9" s="26"/>
      <c r="M9" s="354"/>
    </row>
    <row r="10" spans="1:13" ht="12.75" customHeight="1" x14ac:dyDescent="0.25">
      <c r="A10" s="353" t="str">
        <f>IFERROR(IF(MONTH(A8+1)&lt;&gt;MONTH(A8), "", A8+1),"")</f>
        <v/>
      </c>
      <c r="B10" s="28" t="s">
        <v>76</v>
      </c>
      <c r="C10" s="222"/>
      <c r="D10" s="354" t="s">
        <v>76</v>
      </c>
      <c r="E10" s="28" t="s">
        <v>76</v>
      </c>
      <c r="F10" s="222"/>
      <c r="G10" s="354" t="s">
        <v>76</v>
      </c>
      <c r="H10" s="28" t="s">
        <v>76</v>
      </c>
      <c r="I10" s="222"/>
      <c r="J10" s="354" t="s">
        <v>76</v>
      </c>
      <c r="K10" s="28" t="s">
        <v>76</v>
      </c>
      <c r="L10" s="222"/>
      <c r="M10" s="354" t="s">
        <v>76</v>
      </c>
    </row>
    <row r="11" spans="1:13" ht="12.75" customHeight="1" x14ac:dyDescent="0.25">
      <c r="A11" s="353"/>
      <c r="B11" s="22" t="s">
        <v>12</v>
      </c>
      <c r="C11" s="26"/>
      <c r="D11" s="354"/>
      <c r="E11" s="22" t="s">
        <v>12</v>
      </c>
      <c r="F11" s="26"/>
      <c r="G11" s="354"/>
      <c r="H11" s="22" t="s">
        <v>12</v>
      </c>
      <c r="I11" s="26"/>
      <c r="J11" s="354"/>
      <c r="K11" s="22" t="s">
        <v>12</v>
      </c>
      <c r="L11" s="26"/>
      <c r="M11" s="354"/>
    </row>
    <row r="12" spans="1:13" ht="12.75" customHeight="1" x14ac:dyDescent="0.25">
      <c r="A12" s="353" t="str">
        <f>IFERROR(IF(MONTH(A10+1)&lt;&gt;MONTH(A10), "", A10+1),"")</f>
        <v/>
      </c>
      <c r="B12" s="28" t="s">
        <v>76</v>
      </c>
      <c r="C12" s="222"/>
      <c r="D12" s="354" t="s">
        <v>76</v>
      </c>
      <c r="E12" s="28" t="s">
        <v>76</v>
      </c>
      <c r="F12" s="222"/>
      <c r="G12" s="354" t="s">
        <v>76</v>
      </c>
      <c r="H12" s="28" t="s">
        <v>76</v>
      </c>
      <c r="I12" s="222"/>
      <c r="J12" s="354" t="s">
        <v>76</v>
      </c>
      <c r="K12" s="28" t="s">
        <v>76</v>
      </c>
      <c r="L12" s="222"/>
      <c r="M12" s="354" t="s">
        <v>76</v>
      </c>
    </row>
    <row r="13" spans="1:13" ht="12.75" customHeight="1" x14ac:dyDescent="0.25">
      <c r="A13" s="353"/>
      <c r="B13" s="22" t="s">
        <v>12</v>
      </c>
      <c r="C13" s="26"/>
      <c r="D13" s="354"/>
      <c r="E13" s="22" t="s">
        <v>12</v>
      </c>
      <c r="F13" s="26"/>
      <c r="G13" s="354"/>
      <c r="H13" s="22" t="s">
        <v>12</v>
      </c>
      <c r="I13" s="26"/>
      <c r="J13" s="354"/>
      <c r="K13" s="22" t="s">
        <v>12</v>
      </c>
      <c r="L13" s="26"/>
      <c r="M13" s="354"/>
    </row>
    <row r="14" spans="1:13" ht="12.75" customHeight="1" x14ac:dyDescent="0.25">
      <c r="A14" s="353" t="str">
        <f>IFERROR(IF(MONTH(A12+1)&lt;&gt;MONTH(A12), "", A12+1),"")</f>
        <v/>
      </c>
      <c r="B14" s="28" t="s">
        <v>76</v>
      </c>
      <c r="C14" s="222"/>
      <c r="D14" s="354" t="s">
        <v>76</v>
      </c>
      <c r="E14" s="28" t="s">
        <v>76</v>
      </c>
      <c r="F14" s="222"/>
      <c r="G14" s="354" t="s">
        <v>76</v>
      </c>
      <c r="H14" s="28" t="s">
        <v>76</v>
      </c>
      <c r="I14" s="222"/>
      <c r="J14" s="354" t="s">
        <v>76</v>
      </c>
      <c r="K14" s="28" t="s">
        <v>76</v>
      </c>
      <c r="L14" s="222"/>
      <c r="M14" s="354" t="s">
        <v>76</v>
      </c>
    </row>
    <row r="15" spans="1:13" ht="12.75" customHeight="1" x14ac:dyDescent="0.25">
      <c r="A15" s="353"/>
      <c r="B15" s="22" t="s">
        <v>12</v>
      </c>
      <c r="C15" s="26"/>
      <c r="D15" s="354"/>
      <c r="E15" s="22" t="s">
        <v>12</v>
      </c>
      <c r="F15" s="26"/>
      <c r="G15" s="354"/>
      <c r="H15" s="22" t="s">
        <v>12</v>
      </c>
      <c r="I15" s="26"/>
      <c r="J15" s="354"/>
      <c r="K15" s="22" t="s">
        <v>12</v>
      </c>
      <c r="L15" s="26"/>
      <c r="M15" s="354"/>
    </row>
    <row r="16" spans="1:13" ht="12.75" customHeight="1" x14ac:dyDescent="0.25">
      <c r="A16" s="353" t="str">
        <f>IFERROR(IF(MONTH(A14+1)&lt;&gt;MONTH(A14), "", A14+1),"")</f>
        <v/>
      </c>
      <c r="B16" s="28" t="s">
        <v>76</v>
      </c>
      <c r="C16" s="222"/>
      <c r="D16" s="354" t="s">
        <v>76</v>
      </c>
      <c r="E16" s="28" t="s">
        <v>76</v>
      </c>
      <c r="F16" s="222"/>
      <c r="G16" s="354" t="s">
        <v>76</v>
      </c>
      <c r="H16" s="28" t="s">
        <v>76</v>
      </c>
      <c r="I16" s="222"/>
      <c r="J16" s="354" t="s">
        <v>76</v>
      </c>
      <c r="K16" s="28" t="s">
        <v>76</v>
      </c>
      <c r="L16" s="222"/>
      <c r="M16" s="354" t="s">
        <v>76</v>
      </c>
    </row>
    <row r="17" spans="1:13" ht="12.75" customHeight="1" x14ac:dyDescent="0.25">
      <c r="A17" s="353"/>
      <c r="B17" s="22" t="s">
        <v>12</v>
      </c>
      <c r="C17" s="26"/>
      <c r="D17" s="354"/>
      <c r="E17" s="22" t="s">
        <v>12</v>
      </c>
      <c r="F17" s="26"/>
      <c r="G17" s="354"/>
      <c r="H17" s="22" t="s">
        <v>12</v>
      </c>
      <c r="I17" s="26"/>
      <c r="J17" s="354"/>
      <c r="K17" s="22" t="s">
        <v>12</v>
      </c>
      <c r="L17" s="26"/>
      <c r="M17" s="354"/>
    </row>
    <row r="18" spans="1:13" ht="12.75" customHeight="1" x14ac:dyDescent="0.25">
      <c r="A18" s="353" t="str">
        <f>IFERROR(IF(MONTH(A16+1)&lt;&gt;MONTH(A16), "", A16+1),"")</f>
        <v/>
      </c>
      <c r="B18" s="28" t="s">
        <v>76</v>
      </c>
      <c r="C18" s="222"/>
      <c r="D18" s="354" t="s">
        <v>76</v>
      </c>
      <c r="E18" s="28" t="s">
        <v>76</v>
      </c>
      <c r="F18" s="222"/>
      <c r="G18" s="354" t="s">
        <v>76</v>
      </c>
      <c r="H18" s="28" t="s">
        <v>76</v>
      </c>
      <c r="I18" s="222"/>
      <c r="J18" s="354" t="s">
        <v>76</v>
      </c>
      <c r="K18" s="28" t="s">
        <v>76</v>
      </c>
      <c r="L18" s="222"/>
      <c r="M18" s="354" t="s">
        <v>76</v>
      </c>
    </row>
    <row r="19" spans="1:13" ht="12.75" customHeight="1" x14ac:dyDescent="0.25">
      <c r="A19" s="353"/>
      <c r="B19" s="22" t="s">
        <v>12</v>
      </c>
      <c r="C19" s="26"/>
      <c r="D19" s="354"/>
      <c r="E19" s="22" t="s">
        <v>12</v>
      </c>
      <c r="F19" s="26"/>
      <c r="G19" s="354"/>
      <c r="H19" s="22" t="s">
        <v>12</v>
      </c>
      <c r="I19" s="26"/>
      <c r="J19" s="354"/>
      <c r="K19" s="22" t="s">
        <v>12</v>
      </c>
      <c r="L19" s="26"/>
      <c r="M19" s="354"/>
    </row>
    <row r="20" spans="1:13" ht="12.75" customHeight="1" x14ac:dyDescent="0.25">
      <c r="A20" s="353" t="str">
        <f>IFERROR(IF(MONTH(A18+1)&lt;&gt;MONTH(A18), "", A18+1),"")</f>
        <v/>
      </c>
      <c r="B20" s="28" t="s">
        <v>76</v>
      </c>
      <c r="C20" s="222"/>
      <c r="D20" s="354" t="s">
        <v>76</v>
      </c>
      <c r="E20" s="28" t="s">
        <v>76</v>
      </c>
      <c r="F20" s="222"/>
      <c r="G20" s="354" t="s">
        <v>76</v>
      </c>
      <c r="H20" s="28" t="s">
        <v>76</v>
      </c>
      <c r="I20" s="222"/>
      <c r="J20" s="354" t="s">
        <v>76</v>
      </c>
      <c r="K20" s="28" t="s">
        <v>76</v>
      </c>
      <c r="L20" s="222"/>
      <c r="M20" s="354" t="s">
        <v>76</v>
      </c>
    </row>
    <row r="21" spans="1:13" ht="12.75" customHeight="1" x14ac:dyDescent="0.25">
      <c r="A21" s="353"/>
      <c r="B21" s="22" t="s">
        <v>12</v>
      </c>
      <c r="C21" s="26"/>
      <c r="D21" s="354"/>
      <c r="E21" s="22" t="s">
        <v>12</v>
      </c>
      <c r="F21" s="26"/>
      <c r="G21" s="354"/>
      <c r="H21" s="22" t="s">
        <v>12</v>
      </c>
      <c r="I21" s="26"/>
      <c r="J21" s="354"/>
      <c r="K21" s="22" t="s">
        <v>12</v>
      </c>
      <c r="L21" s="26"/>
      <c r="M21" s="354"/>
    </row>
    <row r="22" spans="1:13" ht="12.75" customHeight="1" x14ac:dyDescent="0.25">
      <c r="A22" s="353" t="str">
        <f>IFERROR(IF(MONTH(A20+1)&lt;&gt;MONTH(A20), "", A20+1),"")</f>
        <v/>
      </c>
      <c r="B22" s="28" t="s">
        <v>76</v>
      </c>
      <c r="C22" s="222"/>
      <c r="D22" s="354" t="s">
        <v>76</v>
      </c>
      <c r="E22" s="28" t="s">
        <v>76</v>
      </c>
      <c r="F22" s="222"/>
      <c r="G22" s="354" t="s">
        <v>76</v>
      </c>
      <c r="H22" s="28" t="s">
        <v>76</v>
      </c>
      <c r="I22" s="222"/>
      <c r="J22" s="354" t="s">
        <v>76</v>
      </c>
      <c r="K22" s="28" t="s">
        <v>76</v>
      </c>
      <c r="L22" s="222"/>
      <c r="M22" s="354" t="s">
        <v>76</v>
      </c>
    </row>
    <row r="23" spans="1:13" ht="12.75" customHeight="1" x14ac:dyDescent="0.25">
      <c r="A23" s="353"/>
      <c r="B23" s="22" t="s">
        <v>12</v>
      </c>
      <c r="C23" s="26"/>
      <c r="D23" s="354"/>
      <c r="E23" s="22" t="s">
        <v>12</v>
      </c>
      <c r="F23" s="26"/>
      <c r="G23" s="354"/>
      <c r="H23" s="22" t="s">
        <v>12</v>
      </c>
      <c r="I23" s="26"/>
      <c r="J23" s="354"/>
      <c r="K23" s="22" t="s">
        <v>12</v>
      </c>
      <c r="L23" s="26"/>
      <c r="M23" s="354"/>
    </row>
    <row r="24" spans="1:13" ht="12.75" customHeight="1" x14ac:dyDescent="0.25">
      <c r="A24" s="353" t="str">
        <f>IFERROR(IF(MONTH(A22+1)&lt;&gt;MONTH(A22), "", A22+1),"")</f>
        <v/>
      </c>
      <c r="B24" s="28" t="s">
        <v>76</v>
      </c>
      <c r="C24" s="222"/>
      <c r="D24" s="354" t="s">
        <v>76</v>
      </c>
      <c r="E24" s="28" t="s">
        <v>76</v>
      </c>
      <c r="F24" s="222"/>
      <c r="G24" s="354" t="s">
        <v>76</v>
      </c>
      <c r="H24" s="28" t="s">
        <v>76</v>
      </c>
      <c r="I24" s="222"/>
      <c r="J24" s="354" t="s">
        <v>76</v>
      </c>
      <c r="K24" s="28" t="s">
        <v>76</v>
      </c>
      <c r="L24" s="222"/>
      <c r="M24" s="354" t="s">
        <v>76</v>
      </c>
    </row>
    <row r="25" spans="1:13" ht="12.75" customHeight="1" x14ac:dyDescent="0.25">
      <c r="A25" s="353"/>
      <c r="B25" s="22" t="s">
        <v>12</v>
      </c>
      <c r="C25" s="26"/>
      <c r="D25" s="354"/>
      <c r="E25" s="22" t="s">
        <v>12</v>
      </c>
      <c r="F25" s="26"/>
      <c r="G25" s="354"/>
      <c r="H25" s="22" t="s">
        <v>12</v>
      </c>
      <c r="I25" s="26"/>
      <c r="J25" s="354"/>
      <c r="K25" s="22" t="s">
        <v>12</v>
      </c>
      <c r="L25" s="26"/>
      <c r="M25" s="354"/>
    </row>
    <row r="26" spans="1:13" ht="12.75" customHeight="1" x14ac:dyDescent="0.25">
      <c r="A26" s="353" t="str">
        <f>IFERROR(IF(MONTH(A24+1)&lt;&gt;MONTH(A24), "", A24+1),"")</f>
        <v/>
      </c>
      <c r="B26" s="28" t="s">
        <v>76</v>
      </c>
      <c r="C26" s="222"/>
      <c r="D26" s="354" t="s">
        <v>76</v>
      </c>
      <c r="E26" s="28" t="s">
        <v>76</v>
      </c>
      <c r="F26" s="222"/>
      <c r="G26" s="354" t="s">
        <v>76</v>
      </c>
      <c r="H26" s="28" t="s">
        <v>76</v>
      </c>
      <c r="I26" s="222"/>
      <c r="J26" s="354" t="s">
        <v>76</v>
      </c>
      <c r="K26" s="28" t="s">
        <v>76</v>
      </c>
      <c r="L26" s="222"/>
      <c r="M26" s="354" t="s">
        <v>76</v>
      </c>
    </row>
    <row r="27" spans="1:13" ht="12.75" customHeight="1" x14ac:dyDescent="0.25">
      <c r="A27" s="353"/>
      <c r="B27" s="22" t="s">
        <v>12</v>
      </c>
      <c r="C27" s="26"/>
      <c r="D27" s="354"/>
      <c r="E27" s="22" t="s">
        <v>12</v>
      </c>
      <c r="F27" s="26"/>
      <c r="G27" s="354"/>
      <c r="H27" s="22" t="s">
        <v>12</v>
      </c>
      <c r="I27" s="26"/>
      <c r="J27" s="354"/>
      <c r="K27" s="22" t="s">
        <v>12</v>
      </c>
      <c r="L27" s="26"/>
      <c r="M27" s="354"/>
    </row>
    <row r="28" spans="1:13" ht="12.75" customHeight="1" x14ac:dyDescent="0.25">
      <c r="A28" s="353" t="str">
        <f>IFERROR(IF(MONTH(A26+1)&lt;&gt;MONTH(A26), "", A26+1),"")</f>
        <v/>
      </c>
      <c r="B28" s="28" t="s">
        <v>76</v>
      </c>
      <c r="C28" s="222"/>
      <c r="D28" s="354" t="s">
        <v>76</v>
      </c>
      <c r="E28" s="28" t="s">
        <v>76</v>
      </c>
      <c r="F28" s="222"/>
      <c r="G28" s="354" t="s">
        <v>76</v>
      </c>
      <c r="H28" s="28" t="s">
        <v>76</v>
      </c>
      <c r="I28" s="222"/>
      <c r="J28" s="354" t="s">
        <v>76</v>
      </c>
      <c r="K28" s="28" t="s">
        <v>76</v>
      </c>
      <c r="L28" s="222"/>
      <c r="M28" s="354" t="s">
        <v>76</v>
      </c>
    </row>
    <row r="29" spans="1:13" ht="12.75" customHeight="1" x14ac:dyDescent="0.25">
      <c r="A29" s="353"/>
      <c r="B29" s="22" t="s">
        <v>12</v>
      </c>
      <c r="C29" s="26"/>
      <c r="D29" s="354"/>
      <c r="E29" s="22" t="s">
        <v>12</v>
      </c>
      <c r="F29" s="26"/>
      <c r="G29" s="354"/>
      <c r="H29" s="22" t="s">
        <v>12</v>
      </c>
      <c r="I29" s="26"/>
      <c r="J29" s="354"/>
      <c r="K29" s="22" t="s">
        <v>12</v>
      </c>
      <c r="L29" s="26"/>
      <c r="M29" s="354"/>
    </row>
    <row r="30" spans="1:13" ht="12.75" customHeight="1" x14ac:dyDescent="0.25">
      <c r="A30" s="353" t="str">
        <f>IFERROR(IF(MONTH(A28+1)&lt;&gt;MONTH(A28), "", A28+1),"")</f>
        <v/>
      </c>
      <c r="B30" s="28" t="s">
        <v>76</v>
      </c>
      <c r="C30" s="222"/>
      <c r="D30" s="354" t="s">
        <v>76</v>
      </c>
      <c r="E30" s="28" t="s">
        <v>76</v>
      </c>
      <c r="F30" s="222"/>
      <c r="G30" s="354" t="s">
        <v>76</v>
      </c>
      <c r="H30" s="28" t="s">
        <v>76</v>
      </c>
      <c r="I30" s="222"/>
      <c r="J30" s="354" t="s">
        <v>76</v>
      </c>
      <c r="K30" s="28" t="s">
        <v>76</v>
      </c>
      <c r="L30" s="222"/>
      <c r="M30" s="354" t="s">
        <v>76</v>
      </c>
    </row>
    <row r="31" spans="1:13" ht="12.75" customHeight="1" x14ac:dyDescent="0.25">
      <c r="A31" s="353"/>
      <c r="B31" s="22" t="s">
        <v>12</v>
      </c>
      <c r="C31" s="26"/>
      <c r="D31" s="354"/>
      <c r="E31" s="22" t="s">
        <v>12</v>
      </c>
      <c r="F31" s="26"/>
      <c r="G31" s="354"/>
      <c r="H31" s="22" t="s">
        <v>12</v>
      </c>
      <c r="I31" s="26"/>
      <c r="J31" s="354"/>
      <c r="K31" s="22" t="s">
        <v>12</v>
      </c>
      <c r="L31" s="26"/>
      <c r="M31" s="354"/>
    </row>
    <row r="32" spans="1:13" ht="12.75" customHeight="1" x14ac:dyDescent="0.25">
      <c r="A32" s="353" t="str">
        <f>IFERROR(IF(MONTH(A30+1)&lt;&gt;MONTH(A30), "", A30+1),"")</f>
        <v/>
      </c>
      <c r="B32" s="28" t="s">
        <v>76</v>
      </c>
      <c r="C32" s="222"/>
      <c r="D32" s="354" t="s">
        <v>76</v>
      </c>
      <c r="E32" s="28" t="s">
        <v>76</v>
      </c>
      <c r="F32" s="222"/>
      <c r="G32" s="354" t="s">
        <v>76</v>
      </c>
      <c r="H32" s="28" t="s">
        <v>76</v>
      </c>
      <c r="I32" s="222"/>
      <c r="J32" s="354" t="s">
        <v>76</v>
      </c>
      <c r="K32" s="28" t="s">
        <v>76</v>
      </c>
      <c r="L32" s="222"/>
      <c r="M32" s="354" t="s">
        <v>76</v>
      </c>
    </row>
    <row r="33" spans="1:13" ht="12.75" customHeight="1" x14ac:dyDescent="0.25">
      <c r="A33" s="353"/>
      <c r="B33" s="22" t="s">
        <v>12</v>
      </c>
      <c r="C33" s="26"/>
      <c r="D33" s="354"/>
      <c r="E33" s="22" t="s">
        <v>12</v>
      </c>
      <c r="F33" s="26"/>
      <c r="G33" s="354"/>
      <c r="H33" s="22" t="s">
        <v>12</v>
      </c>
      <c r="I33" s="26"/>
      <c r="J33" s="354"/>
      <c r="K33" s="22" t="s">
        <v>12</v>
      </c>
      <c r="L33" s="26"/>
      <c r="M33" s="354"/>
    </row>
    <row r="34" spans="1:13" ht="12.75" customHeight="1" x14ac:dyDescent="0.25">
      <c r="A34" s="353" t="str">
        <f>IFERROR(IF(MONTH(A32+1)&lt;&gt;MONTH(A32), "", A32+1),"")</f>
        <v/>
      </c>
      <c r="B34" s="28" t="s">
        <v>76</v>
      </c>
      <c r="C34" s="222"/>
      <c r="D34" s="354" t="s">
        <v>76</v>
      </c>
      <c r="E34" s="28" t="s">
        <v>76</v>
      </c>
      <c r="F34" s="222"/>
      <c r="G34" s="354" t="s">
        <v>76</v>
      </c>
      <c r="H34" s="28" t="s">
        <v>76</v>
      </c>
      <c r="I34" s="222"/>
      <c r="J34" s="354" t="s">
        <v>76</v>
      </c>
      <c r="K34" s="28" t="s">
        <v>76</v>
      </c>
      <c r="L34" s="222"/>
      <c r="M34" s="354" t="s">
        <v>76</v>
      </c>
    </row>
    <row r="35" spans="1:13" ht="12.75" customHeight="1" x14ac:dyDescent="0.25">
      <c r="A35" s="353"/>
      <c r="B35" s="22" t="s">
        <v>12</v>
      </c>
      <c r="C35" s="26"/>
      <c r="D35" s="354"/>
      <c r="E35" s="22" t="s">
        <v>12</v>
      </c>
      <c r="F35" s="26"/>
      <c r="G35" s="354"/>
      <c r="H35" s="22" t="s">
        <v>12</v>
      </c>
      <c r="I35" s="26"/>
      <c r="J35" s="354"/>
      <c r="K35" s="22" t="s">
        <v>12</v>
      </c>
      <c r="L35" s="26"/>
      <c r="M35" s="354"/>
    </row>
    <row r="36" spans="1:13" ht="12.75" customHeight="1" x14ac:dyDescent="0.25">
      <c r="A36" s="353" t="str">
        <f>IFERROR(IF(MONTH(A34+1)&lt;&gt;MONTH(A34), "", A34+1),"")</f>
        <v/>
      </c>
      <c r="B36" s="28" t="s">
        <v>76</v>
      </c>
      <c r="C36" s="222"/>
      <c r="D36" s="354" t="s">
        <v>76</v>
      </c>
      <c r="E36" s="28" t="s">
        <v>76</v>
      </c>
      <c r="F36" s="222"/>
      <c r="G36" s="354" t="s">
        <v>76</v>
      </c>
      <c r="H36" s="28" t="s">
        <v>76</v>
      </c>
      <c r="I36" s="222"/>
      <c r="J36" s="354" t="s">
        <v>76</v>
      </c>
      <c r="K36" s="28" t="s">
        <v>76</v>
      </c>
      <c r="L36" s="222"/>
      <c r="M36" s="354" t="s">
        <v>76</v>
      </c>
    </row>
    <row r="37" spans="1:13" ht="12.75" customHeight="1" x14ac:dyDescent="0.25">
      <c r="A37" s="353"/>
      <c r="B37" s="22" t="s">
        <v>12</v>
      </c>
      <c r="C37" s="26"/>
      <c r="D37" s="354"/>
      <c r="E37" s="22" t="s">
        <v>12</v>
      </c>
      <c r="F37" s="26"/>
      <c r="G37" s="354"/>
      <c r="H37" s="22" t="s">
        <v>12</v>
      </c>
      <c r="I37" s="26"/>
      <c r="J37" s="354"/>
      <c r="K37" s="22" t="s">
        <v>12</v>
      </c>
      <c r="L37" s="26"/>
      <c r="M37" s="354"/>
    </row>
    <row r="38" spans="1:13" ht="12.75" customHeight="1" x14ac:dyDescent="0.25">
      <c r="A38" s="353" t="str">
        <f>IFERROR(IF(MONTH(A36+1)&lt;&gt;MONTH(A36), "", A36+1),"")</f>
        <v/>
      </c>
      <c r="B38" s="28" t="s">
        <v>76</v>
      </c>
      <c r="C38" s="222"/>
      <c r="D38" s="354" t="s">
        <v>76</v>
      </c>
      <c r="E38" s="28" t="s">
        <v>76</v>
      </c>
      <c r="F38" s="222"/>
      <c r="G38" s="354" t="s">
        <v>76</v>
      </c>
      <c r="H38" s="28" t="s">
        <v>76</v>
      </c>
      <c r="I38" s="222"/>
      <c r="J38" s="354" t="s">
        <v>76</v>
      </c>
      <c r="K38" s="28" t="s">
        <v>76</v>
      </c>
      <c r="L38" s="222"/>
      <c r="M38" s="354" t="s">
        <v>76</v>
      </c>
    </row>
    <row r="39" spans="1:13" ht="12.75" customHeight="1" x14ac:dyDescent="0.25">
      <c r="A39" s="353"/>
      <c r="B39" s="22" t="s">
        <v>12</v>
      </c>
      <c r="C39" s="26"/>
      <c r="D39" s="354"/>
      <c r="E39" s="22" t="s">
        <v>12</v>
      </c>
      <c r="F39" s="26"/>
      <c r="G39" s="354"/>
      <c r="H39" s="22" t="s">
        <v>12</v>
      </c>
      <c r="I39" s="26"/>
      <c r="J39" s="354"/>
      <c r="K39" s="22" t="s">
        <v>12</v>
      </c>
      <c r="L39" s="26"/>
      <c r="M39" s="354"/>
    </row>
    <row r="40" spans="1:13" ht="12.75" customHeight="1" x14ac:dyDescent="0.25">
      <c r="A40" s="353" t="str">
        <f>IFERROR(IF(MONTH(A38+1)&lt;&gt;MONTH(A38), "", A38+1),"")</f>
        <v/>
      </c>
      <c r="B40" s="28" t="s">
        <v>76</v>
      </c>
      <c r="C40" s="222"/>
      <c r="D40" s="354" t="s">
        <v>76</v>
      </c>
      <c r="E40" s="28" t="s">
        <v>76</v>
      </c>
      <c r="F40" s="222"/>
      <c r="G40" s="354" t="s">
        <v>76</v>
      </c>
      <c r="H40" s="28" t="s">
        <v>76</v>
      </c>
      <c r="I40" s="222"/>
      <c r="J40" s="354" t="s">
        <v>76</v>
      </c>
      <c r="K40" s="28" t="s">
        <v>76</v>
      </c>
      <c r="L40" s="222"/>
      <c r="M40" s="354" t="s">
        <v>76</v>
      </c>
    </row>
    <row r="41" spans="1:13" ht="12.75" customHeight="1" x14ac:dyDescent="0.25">
      <c r="A41" s="353"/>
      <c r="B41" s="22" t="s">
        <v>12</v>
      </c>
      <c r="C41" s="26"/>
      <c r="D41" s="354"/>
      <c r="E41" s="22" t="s">
        <v>12</v>
      </c>
      <c r="F41" s="26"/>
      <c r="G41" s="354"/>
      <c r="H41" s="22" t="s">
        <v>12</v>
      </c>
      <c r="I41" s="26"/>
      <c r="J41" s="354"/>
      <c r="K41" s="22" t="s">
        <v>12</v>
      </c>
      <c r="L41" s="26"/>
      <c r="M41" s="354"/>
    </row>
    <row r="42" spans="1:13" ht="12.75" customHeight="1" x14ac:dyDescent="0.25">
      <c r="A42" s="353" t="str">
        <f>IFERROR(IF(MONTH(A40+1)&lt;&gt;MONTH(A40), "", A40+1),"")</f>
        <v/>
      </c>
      <c r="B42" s="28" t="s">
        <v>76</v>
      </c>
      <c r="C42" s="222"/>
      <c r="D42" s="354" t="s">
        <v>76</v>
      </c>
      <c r="E42" s="28" t="s">
        <v>76</v>
      </c>
      <c r="F42" s="222"/>
      <c r="G42" s="354" t="s">
        <v>76</v>
      </c>
      <c r="H42" s="28" t="s">
        <v>76</v>
      </c>
      <c r="I42" s="222"/>
      <c r="J42" s="354" t="s">
        <v>76</v>
      </c>
      <c r="K42" s="28" t="s">
        <v>76</v>
      </c>
      <c r="L42" s="222"/>
      <c r="M42" s="354" t="s">
        <v>76</v>
      </c>
    </row>
    <row r="43" spans="1:13" ht="12.75" customHeight="1" x14ac:dyDescent="0.25">
      <c r="A43" s="353"/>
      <c r="B43" s="22" t="s">
        <v>12</v>
      </c>
      <c r="C43" s="26"/>
      <c r="D43" s="354"/>
      <c r="E43" s="22" t="s">
        <v>12</v>
      </c>
      <c r="F43" s="26"/>
      <c r="G43" s="354"/>
      <c r="H43" s="22" t="s">
        <v>12</v>
      </c>
      <c r="I43" s="26"/>
      <c r="J43" s="354"/>
      <c r="K43" s="22" t="s">
        <v>12</v>
      </c>
      <c r="L43" s="26"/>
      <c r="M43" s="354"/>
    </row>
    <row r="44" spans="1:13" ht="12.75" customHeight="1" x14ac:dyDescent="0.25">
      <c r="A44" s="353" t="str">
        <f>IFERROR(IF(MONTH(A42+1)&lt;&gt;MONTH(A42), "", A42+1),"")</f>
        <v/>
      </c>
      <c r="B44" s="28"/>
      <c r="C44" s="222"/>
      <c r="D44" s="354" t="s">
        <v>76</v>
      </c>
      <c r="E44" s="28"/>
      <c r="F44" s="222"/>
      <c r="G44" s="354" t="s">
        <v>76</v>
      </c>
      <c r="H44" s="28"/>
      <c r="I44" s="222"/>
      <c r="J44" s="354" t="s">
        <v>76</v>
      </c>
      <c r="K44" s="28"/>
      <c r="L44" s="222"/>
      <c r="M44" s="354" t="s">
        <v>76</v>
      </c>
    </row>
    <row r="45" spans="1:13" ht="12.75" customHeight="1" x14ac:dyDescent="0.25">
      <c r="A45" s="353"/>
      <c r="B45" s="22" t="s">
        <v>12</v>
      </c>
      <c r="C45" s="26"/>
      <c r="D45" s="354"/>
      <c r="E45" s="22" t="s">
        <v>12</v>
      </c>
      <c r="F45" s="26"/>
      <c r="G45" s="354"/>
      <c r="H45" s="22" t="s">
        <v>12</v>
      </c>
      <c r="I45" s="26"/>
      <c r="J45" s="354"/>
      <c r="K45" s="22" t="s">
        <v>12</v>
      </c>
      <c r="L45" s="26"/>
      <c r="M45" s="354"/>
    </row>
    <row r="46" spans="1:13" ht="12.75" customHeight="1" x14ac:dyDescent="0.25">
      <c r="A46" s="353" t="str">
        <f>IFERROR(IF(MONTH(A44+1)&lt;&gt;MONTH(A44), "", A44+1),"")</f>
        <v/>
      </c>
      <c r="B46" s="28" t="s">
        <v>76</v>
      </c>
      <c r="C46" s="222"/>
      <c r="D46" s="354" t="s">
        <v>76</v>
      </c>
      <c r="E46" s="28" t="s">
        <v>76</v>
      </c>
      <c r="F46" s="222"/>
      <c r="G46" s="354" t="s">
        <v>76</v>
      </c>
      <c r="H46" s="28" t="s">
        <v>76</v>
      </c>
      <c r="I46" s="222"/>
      <c r="J46" s="354" t="s">
        <v>76</v>
      </c>
      <c r="K46" s="28" t="s">
        <v>76</v>
      </c>
      <c r="L46" s="222"/>
      <c r="M46" s="354" t="s">
        <v>76</v>
      </c>
    </row>
    <row r="47" spans="1:13" ht="12.75" customHeight="1" x14ac:dyDescent="0.25">
      <c r="A47" s="353"/>
      <c r="B47" s="22" t="s">
        <v>12</v>
      </c>
      <c r="C47" s="26"/>
      <c r="D47" s="354"/>
      <c r="E47" s="22" t="s">
        <v>12</v>
      </c>
      <c r="F47" s="26"/>
      <c r="G47" s="354"/>
      <c r="H47" s="22" t="s">
        <v>12</v>
      </c>
      <c r="I47" s="26"/>
      <c r="J47" s="354"/>
      <c r="K47" s="22" t="s">
        <v>12</v>
      </c>
      <c r="L47" s="26"/>
      <c r="M47" s="354"/>
    </row>
    <row r="48" spans="1:13" ht="12.75" customHeight="1" x14ac:dyDescent="0.25">
      <c r="A48" s="353" t="str">
        <f>IFERROR(IF(MONTH(A46+1)&lt;&gt;MONTH(A46), "", A46+1),"")</f>
        <v/>
      </c>
      <c r="B48" s="28" t="s">
        <v>76</v>
      </c>
      <c r="C48" s="222"/>
      <c r="D48" s="354" t="s">
        <v>76</v>
      </c>
      <c r="E48" s="28" t="s">
        <v>76</v>
      </c>
      <c r="F48" s="222"/>
      <c r="G48" s="354" t="s">
        <v>76</v>
      </c>
      <c r="H48" s="28" t="s">
        <v>76</v>
      </c>
      <c r="I48" s="222"/>
      <c r="J48" s="354" t="s">
        <v>76</v>
      </c>
      <c r="K48" s="28" t="s">
        <v>76</v>
      </c>
      <c r="L48" s="222"/>
      <c r="M48" s="354" t="s">
        <v>76</v>
      </c>
    </row>
    <row r="49" spans="1:13" ht="12.75" customHeight="1" x14ac:dyDescent="0.25">
      <c r="A49" s="353"/>
      <c r="B49" s="22" t="s">
        <v>12</v>
      </c>
      <c r="C49" s="26"/>
      <c r="D49" s="354"/>
      <c r="E49" s="22" t="s">
        <v>12</v>
      </c>
      <c r="F49" s="26"/>
      <c r="G49" s="354"/>
      <c r="H49" s="22" t="s">
        <v>12</v>
      </c>
      <c r="I49" s="26"/>
      <c r="J49" s="354"/>
      <c r="K49" s="22" t="s">
        <v>12</v>
      </c>
      <c r="L49" s="26"/>
      <c r="M49" s="354"/>
    </row>
    <row r="50" spans="1:13" ht="12.75" customHeight="1" x14ac:dyDescent="0.25">
      <c r="A50" s="353" t="str">
        <f>IFERROR(IF(MONTH(A48+1)&lt;&gt;MONTH(A48), "", A48+1),"")</f>
        <v/>
      </c>
      <c r="B50" s="28" t="s">
        <v>76</v>
      </c>
      <c r="C50" s="222"/>
      <c r="D50" s="354" t="s">
        <v>76</v>
      </c>
      <c r="E50" s="28" t="s">
        <v>76</v>
      </c>
      <c r="F50" s="222"/>
      <c r="G50" s="354" t="s">
        <v>76</v>
      </c>
      <c r="H50" s="28" t="s">
        <v>76</v>
      </c>
      <c r="I50" s="222"/>
      <c r="J50" s="354" t="s">
        <v>76</v>
      </c>
      <c r="K50" s="28" t="s">
        <v>76</v>
      </c>
      <c r="L50" s="222"/>
      <c r="M50" s="354" t="s">
        <v>76</v>
      </c>
    </row>
    <row r="51" spans="1:13" ht="12.75" customHeight="1" x14ac:dyDescent="0.25">
      <c r="A51" s="353"/>
      <c r="B51" s="22" t="s">
        <v>12</v>
      </c>
      <c r="C51" s="26"/>
      <c r="D51" s="354"/>
      <c r="E51" s="22" t="s">
        <v>12</v>
      </c>
      <c r="F51" s="26"/>
      <c r="G51" s="354"/>
      <c r="H51" s="22" t="s">
        <v>12</v>
      </c>
      <c r="I51" s="26"/>
      <c r="J51" s="354"/>
      <c r="K51" s="22" t="s">
        <v>12</v>
      </c>
      <c r="L51" s="26"/>
      <c r="M51" s="354"/>
    </row>
    <row r="52" spans="1:13" ht="12.75" customHeight="1" x14ac:dyDescent="0.25">
      <c r="A52" s="353" t="str">
        <f>IFERROR(IF(MONTH(A50+1)&lt;&gt;MONTH(A50), "", A50+1),"")</f>
        <v/>
      </c>
      <c r="B52" s="28" t="s">
        <v>76</v>
      </c>
      <c r="C52" s="222"/>
      <c r="D52" s="354" t="s">
        <v>76</v>
      </c>
      <c r="E52" s="28" t="s">
        <v>76</v>
      </c>
      <c r="F52" s="222"/>
      <c r="G52" s="354" t="s">
        <v>76</v>
      </c>
      <c r="H52" s="28" t="s">
        <v>76</v>
      </c>
      <c r="I52" s="222"/>
      <c r="J52" s="354" t="s">
        <v>76</v>
      </c>
      <c r="K52" s="28" t="s">
        <v>76</v>
      </c>
      <c r="L52" s="222"/>
      <c r="M52" s="354" t="s">
        <v>76</v>
      </c>
    </row>
    <row r="53" spans="1:13" ht="12.75" customHeight="1" x14ac:dyDescent="0.25">
      <c r="A53" s="353"/>
      <c r="B53" s="22" t="s">
        <v>12</v>
      </c>
      <c r="C53" s="26"/>
      <c r="D53" s="354"/>
      <c r="E53" s="22" t="s">
        <v>12</v>
      </c>
      <c r="F53" s="26"/>
      <c r="G53" s="354"/>
      <c r="H53" s="22" t="s">
        <v>12</v>
      </c>
      <c r="I53" s="26"/>
      <c r="J53" s="354"/>
      <c r="K53" s="22" t="s">
        <v>12</v>
      </c>
      <c r="L53" s="26"/>
      <c r="M53" s="354"/>
    </row>
    <row r="54" spans="1:13" ht="12.75" customHeight="1" x14ac:dyDescent="0.25">
      <c r="A54" s="353" t="str">
        <f>IFERROR(IF(MONTH(A52+1)&lt;&gt;MONTH(A52), "", A52+1),"")</f>
        <v/>
      </c>
      <c r="B54" s="28" t="s">
        <v>76</v>
      </c>
      <c r="C54" s="222"/>
      <c r="D54" s="354" t="s">
        <v>76</v>
      </c>
      <c r="E54" s="28" t="s">
        <v>76</v>
      </c>
      <c r="F54" s="222"/>
      <c r="G54" s="354" t="s">
        <v>76</v>
      </c>
      <c r="H54" s="28" t="s">
        <v>76</v>
      </c>
      <c r="I54" s="222"/>
      <c r="J54" s="354" t="s">
        <v>76</v>
      </c>
      <c r="K54" s="28" t="s">
        <v>76</v>
      </c>
      <c r="L54" s="222"/>
      <c r="M54" s="354" t="s">
        <v>76</v>
      </c>
    </row>
    <row r="55" spans="1:13" ht="12.75" customHeight="1" x14ac:dyDescent="0.25">
      <c r="A55" s="353"/>
      <c r="B55" s="22" t="s">
        <v>12</v>
      </c>
      <c r="C55" s="26"/>
      <c r="D55" s="354"/>
      <c r="E55" s="22" t="s">
        <v>12</v>
      </c>
      <c r="F55" s="26"/>
      <c r="G55" s="354"/>
      <c r="H55" s="22" t="s">
        <v>12</v>
      </c>
      <c r="I55" s="26"/>
      <c r="J55" s="354"/>
      <c r="K55" s="22" t="s">
        <v>12</v>
      </c>
      <c r="L55" s="26"/>
      <c r="M55" s="354"/>
    </row>
    <row r="56" spans="1:13" ht="12.75" customHeight="1" x14ac:dyDescent="0.25">
      <c r="A56" s="353" t="str">
        <f>IFERROR(IF(MONTH(A54+1)&lt;&gt;MONTH(A54), "", A54+1),"")</f>
        <v/>
      </c>
      <c r="B56" s="28" t="s">
        <v>76</v>
      </c>
      <c r="C56" s="222"/>
      <c r="D56" s="354" t="s">
        <v>76</v>
      </c>
      <c r="E56" s="28" t="s">
        <v>76</v>
      </c>
      <c r="F56" s="222"/>
      <c r="G56" s="354" t="s">
        <v>76</v>
      </c>
      <c r="H56" s="28" t="s">
        <v>76</v>
      </c>
      <c r="I56" s="222"/>
      <c r="J56" s="354" t="s">
        <v>76</v>
      </c>
      <c r="K56" s="28" t="s">
        <v>76</v>
      </c>
      <c r="L56" s="222"/>
      <c r="M56" s="354" t="s">
        <v>76</v>
      </c>
    </row>
    <row r="57" spans="1:13" ht="12.75" customHeight="1" x14ac:dyDescent="0.25">
      <c r="A57" s="353"/>
      <c r="B57" s="22" t="s">
        <v>12</v>
      </c>
      <c r="C57" s="26"/>
      <c r="D57" s="354"/>
      <c r="E57" s="22" t="s">
        <v>12</v>
      </c>
      <c r="F57" s="26"/>
      <c r="G57" s="354"/>
      <c r="H57" s="22" t="s">
        <v>12</v>
      </c>
      <c r="I57" s="26"/>
      <c r="J57" s="354"/>
      <c r="K57" s="22" t="s">
        <v>12</v>
      </c>
      <c r="L57" s="26"/>
      <c r="M57" s="354"/>
    </row>
    <row r="58" spans="1:13" ht="12.75" customHeight="1" x14ac:dyDescent="0.25">
      <c r="A58" s="353" t="str">
        <f>IFERROR(IF(MONTH(A56+1)&lt;&gt;MONTH(A56), "", A56+1),"")</f>
        <v/>
      </c>
      <c r="B58" s="28" t="s">
        <v>76</v>
      </c>
      <c r="C58" s="222"/>
      <c r="D58" s="354" t="s">
        <v>76</v>
      </c>
      <c r="E58" s="28" t="s">
        <v>76</v>
      </c>
      <c r="F58" s="222"/>
      <c r="G58" s="354" t="s">
        <v>76</v>
      </c>
      <c r="H58" s="28" t="s">
        <v>76</v>
      </c>
      <c r="I58" s="222"/>
      <c r="J58" s="354" t="s">
        <v>76</v>
      </c>
      <c r="K58" s="28" t="s">
        <v>76</v>
      </c>
      <c r="L58" s="222"/>
      <c r="M58" s="354" t="s">
        <v>76</v>
      </c>
    </row>
    <row r="59" spans="1:13" ht="12.75" customHeight="1" thickBot="1" x14ac:dyDescent="0.3">
      <c r="A59" s="365"/>
      <c r="B59" s="23" t="s">
        <v>12</v>
      </c>
      <c r="C59" s="27"/>
      <c r="D59" s="367"/>
      <c r="E59" s="23" t="s">
        <v>12</v>
      </c>
      <c r="F59" s="27"/>
      <c r="G59" s="367"/>
      <c r="H59" s="23" t="s">
        <v>12</v>
      </c>
      <c r="I59" s="27"/>
      <c r="J59" s="367"/>
      <c r="K59" s="23" t="s">
        <v>12</v>
      </c>
      <c r="L59" s="27"/>
      <c r="M59" s="367"/>
    </row>
    <row r="60" spans="1:13" ht="12.75" hidden="1" customHeight="1" x14ac:dyDescent="0.25">
      <c r="A60" s="384" t="str">
        <f>IFERROR(IF(MONTH(A58+1)&lt;&gt;MONTH(A58), "", A58+1),"")</f>
        <v/>
      </c>
      <c r="B60" s="29" t="s">
        <v>76</v>
      </c>
      <c r="C60" s="223"/>
      <c r="D60" s="366" t="s">
        <v>76</v>
      </c>
      <c r="E60" s="29" t="s">
        <v>76</v>
      </c>
      <c r="F60" s="223"/>
      <c r="G60" s="366" t="s">
        <v>76</v>
      </c>
      <c r="H60" s="29" t="s">
        <v>76</v>
      </c>
      <c r="I60" s="223"/>
      <c r="J60" s="366" t="s">
        <v>76</v>
      </c>
      <c r="K60" s="29" t="s">
        <v>76</v>
      </c>
      <c r="L60" s="223"/>
      <c r="M60" s="366" t="s">
        <v>76</v>
      </c>
    </row>
    <row r="61" spans="1:13" ht="12.75" hidden="1" customHeight="1" thickBot="1" x14ac:dyDescent="0.3">
      <c r="A61" s="386"/>
      <c r="B61" s="283" t="s">
        <v>12</v>
      </c>
      <c r="C61" s="27"/>
      <c r="D61" s="367"/>
      <c r="E61" s="283" t="s">
        <v>12</v>
      </c>
      <c r="F61" s="27"/>
      <c r="G61" s="367"/>
      <c r="H61" s="283" t="s">
        <v>12</v>
      </c>
      <c r="I61" s="27"/>
      <c r="J61" s="367"/>
      <c r="K61" s="283" t="s">
        <v>12</v>
      </c>
      <c r="L61" s="27"/>
      <c r="M61" s="367"/>
    </row>
    <row r="62" spans="1:13" ht="12.75" hidden="1" customHeight="1" x14ac:dyDescent="0.25">
      <c r="A62" s="384" t="str">
        <f>IFERROR(IF(MONTH(A60+1)&lt;&gt;MONTH(A60), "", A60+1),"")</f>
        <v/>
      </c>
      <c r="B62" s="29" t="s">
        <v>76</v>
      </c>
      <c r="C62" s="223"/>
      <c r="D62" s="366" t="s">
        <v>76</v>
      </c>
      <c r="E62" s="29" t="s">
        <v>76</v>
      </c>
      <c r="F62" s="223"/>
      <c r="G62" s="366" t="s">
        <v>76</v>
      </c>
      <c r="H62" s="29" t="s">
        <v>76</v>
      </c>
      <c r="I62" s="223"/>
      <c r="J62" s="366" t="s">
        <v>76</v>
      </c>
      <c r="K62" s="29" t="s">
        <v>76</v>
      </c>
      <c r="L62" s="223"/>
      <c r="M62" s="366" t="s">
        <v>76</v>
      </c>
    </row>
    <row r="63" spans="1:13" ht="12.75" hidden="1" customHeight="1" thickBot="1" x14ac:dyDescent="0.3">
      <c r="A63" s="386"/>
      <c r="B63" s="283" t="s">
        <v>12</v>
      </c>
      <c r="C63" s="27"/>
      <c r="D63" s="367"/>
      <c r="E63" s="283" t="s">
        <v>12</v>
      </c>
      <c r="F63" s="27"/>
      <c r="G63" s="367"/>
      <c r="H63" s="283" t="s">
        <v>12</v>
      </c>
      <c r="I63" s="27"/>
      <c r="J63" s="367"/>
      <c r="K63" s="283" t="s">
        <v>12</v>
      </c>
      <c r="L63" s="27"/>
      <c r="M63" s="367"/>
    </row>
    <row r="64" spans="1:13" ht="12.75" hidden="1" customHeight="1" x14ac:dyDescent="0.25">
      <c r="A64" s="384" t="str">
        <f>IFERROR(IF(MONTH(A62+1)&lt;&gt;MONTH(A62), "", A62+1),"")</f>
        <v/>
      </c>
      <c r="B64" s="29" t="s">
        <v>76</v>
      </c>
      <c r="C64" s="223"/>
      <c r="D64" s="366" t="s">
        <v>76</v>
      </c>
      <c r="E64" s="29" t="s">
        <v>76</v>
      </c>
      <c r="F64" s="223"/>
      <c r="G64" s="366" t="s">
        <v>76</v>
      </c>
      <c r="H64" s="29" t="s">
        <v>76</v>
      </c>
      <c r="I64" s="223"/>
      <c r="J64" s="366" t="s">
        <v>76</v>
      </c>
      <c r="K64" s="29" t="s">
        <v>76</v>
      </c>
      <c r="L64" s="223"/>
      <c r="M64" s="366" t="s">
        <v>76</v>
      </c>
    </row>
    <row r="65" spans="1:13" ht="12.75" hidden="1" customHeight="1" thickBot="1" x14ac:dyDescent="0.3">
      <c r="A65" s="385"/>
      <c r="B65" s="283" t="s">
        <v>12</v>
      </c>
      <c r="C65" s="27"/>
      <c r="D65" s="367"/>
      <c r="E65" s="283" t="s">
        <v>12</v>
      </c>
      <c r="F65" s="27"/>
      <c r="G65" s="367"/>
      <c r="H65" s="283" t="s">
        <v>12</v>
      </c>
      <c r="I65" s="27"/>
      <c r="J65" s="367"/>
      <c r="K65" s="283" t="s">
        <v>12</v>
      </c>
      <c r="L65" s="27"/>
      <c r="M65" s="367"/>
    </row>
    <row r="66" spans="1:13" ht="12.75" customHeight="1" thickBot="1" x14ac:dyDescent="0.3">
      <c r="A66" s="24"/>
      <c r="B66" s="7"/>
      <c r="C66" s="7"/>
      <c r="D66" s="7"/>
      <c r="E66" s="7"/>
      <c r="F66" s="7"/>
      <c r="G66" s="7"/>
      <c r="H66" s="7"/>
      <c r="I66" s="7"/>
      <c r="J66" s="7"/>
      <c r="K66" s="8"/>
      <c r="L66" s="8"/>
      <c r="M66" s="25"/>
    </row>
    <row r="67" spans="1:13" ht="12.75" customHeight="1" thickBot="1" x14ac:dyDescent="0.3">
      <c r="A67" s="12"/>
      <c r="B67" s="6"/>
      <c r="C67" s="9" t="s">
        <v>13</v>
      </c>
      <c r="D67" s="7"/>
      <c r="E67" s="7"/>
      <c r="F67" s="7"/>
      <c r="G67" s="7"/>
      <c r="H67" s="7"/>
      <c r="I67" s="7"/>
      <c r="J67" s="7"/>
      <c r="K67" s="8"/>
      <c r="L67" s="8"/>
      <c r="M67" s="25"/>
    </row>
    <row r="68" spans="1:13" ht="12.75" customHeight="1" thickBot="1" x14ac:dyDescent="0.3">
      <c r="A68" s="14"/>
      <c r="B68" s="15"/>
      <c r="C68" s="15"/>
      <c r="D68" s="15"/>
      <c r="E68" s="15"/>
      <c r="F68" s="15"/>
      <c r="G68" s="15"/>
      <c r="H68" s="15"/>
      <c r="I68" s="15"/>
      <c r="J68" s="15"/>
      <c r="K68" s="15"/>
      <c r="L68" s="15"/>
      <c r="M68" s="16"/>
    </row>
  </sheetData>
  <sheetProtection algorithmName="SHA-512" hashValue="1t/YsliDpr/mCoV6gCpHfHh7/U5ACMKCIna2UHjGV2t62RGnlQJWh6qNfqs/TItS3UIf0nsrYzeyJDzVgbT7tw==" saltValue="6ygNgEpgpwQ9kj4axBkiUA==" spinCount="100000" sheet="1" objects="1" scenarios="1" selectLockedCells="1" sort="0" autoFilter="0"/>
  <mergeCells count="160">
    <mergeCell ref="A1:M1"/>
    <mergeCell ref="A64:A65"/>
    <mergeCell ref="D64:D65"/>
    <mergeCell ref="G64:G65"/>
    <mergeCell ref="J64:J65"/>
    <mergeCell ref="M64:M65"/>
    <mergeCell ref="A62:A63"/>
    <mergeCell ref="D62:D63"/>
    <mergeCell ref="G62:G63"/>
    <mergeCell ref="J62:J63"/>
    <mergeCell ref="M62:M63"/>
    <mergeCell ref="A60:A61"/>
    <mergeCell ref="D60:D61"/>
    <mergeCell ref="G60:G61"/>
    <mergeCell ref="J60:J61"/>
    <mergeCell ref="M60:M61"/>
    <mergeCell ref="A58:A59"/>
    <mergeCell ref="D58:D59"/>
    <mergeCell ref="G58:G59"/>
    <mergeCell ref="J58:J59"/>
    <mergeCell ref="M58:M59"/>
    <mergeCell ref="A56:A57"/>
    <mergeCell ref="D56:D57"/>
    <mergeCell ref="G56:G57"/>
    <mergeCell ref="J56:J57"/>
    <mergeCell ref="M56:M57"/>
    <mergeCell ref="A54:A55"/>
    <mergeCell ref="D54:D55"/>
    <mergeCell ref="G54:G55"/>
    <mergeCell ref="J54:J55"/>
    <mergeCell ref="M54:M55"/>
    <mergeCell ref="A52:A53"/>
    <mergeCell ref="D52:D53"/>
    <mergeCell ref="G52:G53"/>
    <mergeCell ref="J52:J53"/>
    <mergeCell ref="M52:M53"/>
    <mergeCell ref="A50:A51"/>
    <mergeCell ref="D50:D51"/>
    <mergeCell ref="G50:G51"/>
    <mergeCell ref="J50:J51"/>
    <mergeCell ref="M50:M51"/>
    <mergeCell ref="A48:A49"/>
    <mergeCell ref="D48:D49"/>
    <mergeCell ref="G48:G49"/>
    <mergeCell ref="J48:J49"/>
    <mergeCell ref="M48:M49"/>
    <mergeCell ref="A46:A47"/>
    <mergeCell ref="D46:D47"/>
    <mergeCell ref="G46:G47"/>
    <mergeCell ref="J46:J47"/>
    <mergeCell ref="M46:M47"/>
    <mergeCell ref="A44:A45"/>
    <mergeCell ref="D44:D45"/>
    <mergeCell ref="G44:G45"/>
    <mergeCell ref="J44:J45"/>
    <mergeCell ref="M44:M45"/>
    <mergeCell ref="A42:A43"/>
    <mergeCell ref="D42:D43"/>
    <mergeCell ref="G42:G43"/>
    <mergeCell ref="J42:J43"/>
    <mergeCell ref="M42:M43"/>
    <mergeCell ref="A40:A41"/>
    <mergeCell ref="D40:D41"/>
    <mergeCell ref="G40:G41"/>
    <mergeCell ref="J40:J41"/>
    <mergeCell ref="M40:M41"/>
    <mergeCell ref="A38:A39"/>
    <mergeCell ref="D38:D39"/>
    <mergeCell ref="G38:G39"/>
    <mergeCell ref="J38:J39"/>
    <mergeCell ref="M38:M39"/>
    <mergeCell ref="A36:A37"/>
    <mergeCell ref="D36:D37"/>
    <mergeCell ref="G36:G37"/>
    <mergeCell ref="J36:J37"/>
    <mergeCell ref="M36:M37"/>
    <mergeCell ref="A34:A35"/>
    <mergeCell ref="D34:D35"/>
    <mergeCell ref="G34:G35"/>
    <mergeCell ref="J34:J35"/>
    <mergeCell ref="M34:M35"/>
    <mergeCell ref="A32:A33"/>
    <mergeCell ref="D32:D33"/>
    <mergeCell ref="G32:G33"/>
    <mergeCell ref="J32:J33"/>
    <mergeCell ref="M32:M33"/>
    <mergeCell ref="A30:A31"/>
    <mergeCell ref="D30:D31"/>
    <mergeCell ref="G30:G31"/>
    <mergeCell ref="J30:J31"/>
    <mergeCell ref="M30:M31"/>
    <mergeCell ref="A28:A29"/>
    <mergeCell ref="D28:D29"/>
    <mergeCell ref="G28:G29"/>
    <mergeCell ref="J28:J29"/>
    <mergeCell ref="M28:M29"/>
    <mergeCell ref="A26:A27"/>
    <mergeCell ref="D26:D27"/>
    <mergeCell ref="G26:G27"/>
    <mergeCell ref="J26:J27"/>
    <mergeCell ref="M26:M27"/>
    <mergeCell ref="A24:A25"/>
    <mergeCell ref="D24:D25"/>
    <mergeCell ref="G24:G25"/>
    <mergeCell ref="J24:J25"/>
    <mergeCell ref="M24:M25"/>
    <mergeCell ref="A22:A23"/>
    <mergeCell ref="D22:D23"/>
    <mergeCell ref="G22:G23"/>
    <mergeCell ref="J22:J23"/>
    <mergeCell ref="M22:M23"/>
    <mergeCell ref="A20:A21"/>
    <mergeCell ref="D20:D21"/>
    <mergeCell ref="G20:G21"/>
    <mergeCell ref="J20:J21"/>
    <mergeCell ref="M20:M21"/>
    <mergeCell ref="A18:A19"/>
    <mergeCell ref="D18:D19"/>
    <mergeCell ref="G18:G19"/>
    <mergeCell ref="J18:J19"/>
    <mergeCell ref="M18:M19"/>
    <mergeCell ref="A16:A17"/>
    <mergeCell ref="D16:D17"/>
    <mergeCell ref="G16:G17"/>
    <mergeCell ref="J16:J17"/>
    <mergeCell ref="M16:M17"/>
    <mergeCell ref="A14:A15"/>
    <mergeCell ref="D14:D15"/>
    <mergeCell ref="G14:G15"/>
    <mergeCell ref="J14:J15"/>
    <mergeCell ref="M14:M15"/>
    <mergeCell ref="A12:A13"/>
    <mergeCell ref="D12:D13"/>
    <mergeCell ref="G12:G13"/>
    <mergeCell ref="J12:J13"/>
    <mergeCell ref="M12:M13"/>
    <mergeCell ref="A10:A11"/>
    <mergeCell ref="D10:D11"/>
    <mergeCell ref="G10:G11"/>
    <mergeCell ref="J10:J11"/>
    <mergeCell ref="M10:M11"/>
    <mergeCell ref="A8:A9"/>
    <mergeCell ref="D8:D9"/>
    <mergeCell ref="G8:G9"/>
    <mergeCell ref="J8:J9"/>
    <mergeCell ref="M8:M9"/>
    <mergeCell ref="B2:D2"/>
    <mergeCell ref="E2:G2"/>
    <mergeCell ref="H2:J2"/>
    <mergeCell ref="K2:M2"/>
    <mergeCell ref="A6:A7"/>
    <mergeCell ref="D6:D7"/>
    <mergeCell ref="G6:G7"/>
    <mergeCell ref="J6:J7"/>
    <mergeCell ref="M6:M7"/>
    <mergeCell ref="A4:A5"/>
    <mergeCell ref="D4:D5"/>
    <mergeCell ref="G4:G5"/>
    <mergeCell ref="J4:J5"/>
    <mergeCell ref="M4:M5"/>
  </mergeCells>
  <conditionalFormatting sqref="A60:M65">
    <cfRule type="expression" dxfId="32" priority="4">
      <formula>NOT(IFERROR(INDIRECT("A"&amp;SUM(ODD(ROW())-1))="", TRUE))</formula>
    </cfRule>
  </conditionalFormatting>
  <conditionalFormatting sqref="A60:A65">
    <cfRule type="expression" dxfId="31" priority="3">
      <formula>IFERROR(INDIRECT("A"&amp;SUM(ODD(ROW())-1))="", TRUE)</formula>
    </cfRule>
  </conditionalFormatting>
  <conditionalFormatting sqref="B60:L65">
    <cfRule type="expression" dxfId="30" priority="1">
      <formula>IFERROR(INDIRECT("A"&amp;SUM(ODD(ROW())-1))="", TRUE)</formula>
    </cfRule>
  </conditionalFormatting>
  <conditionalFormatting sqref="B4:M65">
    <cfRule type="containsBlanks" dxfId="29" priority="6">
      <formula>LEN(TRIM(B4))=0</formula>
    </cfRule>
  </conditionalFormatting>
  <conditionalFormatting sqref="M60:M65">
    <cfRule type="expression" dxfId="28" priority="2">
      <formula>IFERROR(INDIRECT("A"&amp;SUM(ODD(ROW())-1))="", TRUE)</formula>
    </cfRule>
  </conditionalFormatting>
  <dataValidations count="7">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DepDD_S5_DP02</formula1>
    </dataValidation>
    <dataValidation type="list" allowBlank="1" showInputMessage="1" showErrorMessage="1" errorTitle="Input Error" error="Please use the drop down box to select your rank." sqref="K4 K6 K8 K10 K12 K14 K16 K18 K20 K22 K24 K26 K28 K30 K32 K34 K36 K38 K40 K42 K44 K46 K48 K50 K52 K54 K56 K58 K60 K62 K64">
      <formula1>DepDD_S5_DP04</formula1>
    </dataValidation>
    <dataValidation type="list" allowBlank="1" showInputMessage="1" showErrorMessage="1" errorTitle="Input Error" error="Please use the drop down box to select your company." sqref="D4:D65 G4:G65 J4:J65 M4:M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L4 L6 L8 L10 L12 L14 L16 L18 L20 L22 L24 L26 L28 L30 L32 L34 L36 L38 L40 L42 L44 L46 L48 L50 L52 L54 L56 L58 L60 L62 L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3 C65 F5 F7 F9 F11 F13 F15 F17 F19 F21 F23 F25 F27 F29 F31 F33 F35 F37 F39 F41 F43 F45 F47 F49 F51 F53 F55 F57 F59 F61 F63 F65 I5 I7 I9 I11 I13 I15 I17 I19 I21 I23 I25 I27 I29 I31 I33 I35 I37 I39 I41 I43 I45 I47 I49 I51 I53 I55 I57 I59 I61 I63 I65 L5 L7 L9 L11 L13 L15 L17 L19 L21 L23 L25 L27 L29 L31 L33 L35 L37 L39 L41 L43 L45 L47 L49 L51 L53 L55 L57 L59 L61 L63 L65">
      <formula1>ISNUMBER(CELL("contents",INDIRECT(ADDRESS(ROW(),COLUMN()))))</formula1>
    </dataValidation>
    <dataValidation type="list" allowBlank="1" showInputMessage="1" showErrorMessage="1" errorTitle="Input Error" error="Please use the drop down box to select your rank." sqref="B60 B62 B64 B58 B56 B54 B52 B50 B48 B46 B44 B42 B40 B38 B36 B34 B32 B30 B28 B26 B24 B22 B20 B18 B16 B14 B12 B10 B8 B6 B4">
      <formula1>DepDD_S5_DP01</formula1>
    </dataValidation>
    <dataValidation type="list" allowBlank="1" showInputMessage="1" showErrorMessage="1" errorTitle="Input Error" error="Please use the drop down box to select your rank." sqref="H64 H62 H60 H58 H56 H54 H52 H50 H48 H46 H44 H42 H40 H38 H36 H34 H32 H30 H28 H26 H24 H22 H20 H18 H16 H14 H12 H10 H8 H6 H4">
      <formula1>DepDD_S5_DP03</formula1>
    </dataValidation>
  </dataValidations>
  <pageMargins left="0.7" right="0.7" top="0.75" bottom="0.75" header="0.3" footer="0.3"/>
  <pageSetup scale="50" orientation="portrait" r:id="rId1"/>
  <extLst>
    <ext xmlns:x14="http://schemas.microsoft.com/office/spreadsheetml/2009/9/main" uri="{78C0D931-6437-407d-A8EE-F0AAD7539E65}">
      <x14:conditionalFormattings>
        <x14:conditionalFormatting xmlns:xm="http://schemas.microsoft.com/office/excel/2006/main">
          <x14:cfRule type="containsText" priority="8" operator="containsText" id="{6D181AF8-CB09-4012-B60A-7DE26EF63C3F}">
            <xm:f>NOT(ISERROR(SEARCH(DevMode!$I$12,Sheet2!D4)))</xm:f>
            <xm:f>DevMode!$I$12</xm:f>
            <x14:dxf>
              <font>
                <color theme="1"/>
              </font>
              <fill>
                <patternFill>
                  <bgColor theme="4"/>
                </patternFill>
              </fill>
            </x14:dxf>
          </x14:cfRule>
          <x14:cfRule type="containsText" priority="9" operator="containsText" id="{319EEA14-D2BB-425B-B67F-71A0D8883560}">
            <xm:f>NOT(ISERROR(SEARCH(DevMode!$I$13,Sheet2!D4)))</xm:f>
            <xm:f>DevMode!$I$13</xm:f>
            <x14:dxf>
              <font>
                <color theme="1"/>
              </font>
              <fill>
                <patternFill>
                  <bgColor theme="7"/>
                </patternFill>
              </fill>
            </x14:dxf>
          </x14:cfRule>
          <x14:cfRule type="containsText" priority="10" operator="containsText" id="{4CF9FD6C-437F-4247-9F97-8B48F0D32556}">
            <xm:f>NOT(ISERROR(SEARCH(DevMode!$I$18,Sheet2!D4)))</xm:f>
            <xm:f>DevMode!$I$18</xm:f>
            <x14:dxf>
              <font>
                <color theme="1"/>
              </font>
              <fill>
                <patternFill>
                  <bgColor theme="3"/>
                </patternFill>
              </fill>
            </x14:dxf>
          </x14:cfRule>
          <x14:cfRule type="containsText" priority="11" operator="containsText" id="{AEA39B10-7C50-4E38-9D40-B8CABA61704A}">
            <xm:f>NOT(ISERROR(SEARCH(DevMode!$I$14,Sheet2!D4)))</xm:f>
            <xm:f>DevMode!$I$14</xm:f>
            <x14:dxf>
              <font>
                <color theme="1"/>
              </font>
              <fill>
                <patternFill>
                  <bgColor theme="9"/>
                </patternFill>
              </fill>
            </x14:dxf>
          </x14:cfRule>
          <x14:cfRule type="containsText" priority="12" operator="containsText" id="{534AF5AC-8E01-41C2-8B9C-8E754160DE60}">
            <xm:f>NOT(ISERROR(SEARCH(DevMode!$I$15,Sheet2!D4)))</xm:f>
            <xm:f>DevMode!$I$15</xm:f>
            <x14:dxf>
              <font>
                <color theme="1"/>
              </font>
              <fill>
                <patternFill>
                  <bgColor rgb="FF7030A0"/>
                </patternFill>
              </fill>
            </x14:dxf>
          </x14:cfRule>
          <x14:cfRule type="containsText" priority="13" operator="containsText" id="{AA330E87-B4EE-45C4-8B36-859E75F010BD}">
            <xm:f>NOT(ISERROR(SEARCH(DevMode!$I$16,Sheet2!D4)))</xm:f>
            <xm:f>DevMode!$I$16</xm:f>
            <x14:dxf>
              <font>
                <color theme="0"/>
              </font>
              <fill>
                <patternFill>
                  <bgColor theme="1"/>
                </patternFill>
              </fill>
            </x14:dxf>
          </x14:cfRule>
          <x14:cfRule type="containsText" priority="15" operator="containsText" id="{B4ED00C3-918E-41DC-8438-8C61303F021F}">
            <xm:f>NOT(ISERROR(SEARCH(DevMode!$I$17,Sheet2!D4)))</xm:f>
            <xm:f>DevMode!$I$17</xm:f>
            <x14:dxf>
              <font>
                <color theme="1"/>
              </font>
              <fill>
                <patternFill>
                  <bgColor rgb="FFFF0000"/>
                </patternFill>
              </fill>
            </x14:dxf>
          </x14:cfRule>
          <xm:sqref>M4:M65 J4:J65 G4:G65 D4:D65</xm:sqref>
        </x14:conditionalFormatting>
        <x14:conditionalFormatting xmlns:xm="http://schemas.microsoft.com/office/excel/2006/main">
          <x14:cfRule type="expression" priority="7" id="{8518EC6D-D60E-4232-8E59-53173365B3EB}">
            <xm:f>OR(WEEKDAY(INDIRECT("A"&amp;SUM(ODD(ROW())-1)))=1,WEEKDAY(INDIRECT("A"&amp;SUM(ODD(ROW())-1)))=7,COUNTIFS(Summary!$K$44:$K$53,"&lt;"&amp;INDIRECT("A"&amp;SUM(ODD(ROW())-1)),Summary!$L$44:$L$53,"&gt;"&amp;INDIRECT("A"&amp;SUM(ODD(ROW())-1)))&gt;0)</xm:f>
            <x14:dxf>
              <font>
                <color theme="1"/>
              </font>
              <fill>
                <patternFill>
                  <bgColor rgb="FFFFFF00"/>
                </patternFill>
              </fill>
            </x14:dxf>
          </x14:cfRule>
          <xm:sqref>A4:C65 E4:F65 H4:I65 K4:L65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Q137"/>
  <sheetViews>
    <sheetView workbookViewId="0">
      <selection activeCell="A2" sqref="A2"/>
    </sheetView>
  </sheetViews>
  <sheetFormatPr defaultRowHeight="15" x14ac:dyDescent="0.25"/>
  <cols>
    <col min="1" max="14" width="17.7109375" style="305" customWidth="1"/>
    <col min="15" max="15" width="5.7109375" style="305" customWidth="1"/>
    <col min="16" max="16" width="7.7109375" style="305" customWidth="1"/>
    <col min="17" max="19" width="5.7109375" style="305" customWidth="1"/>
    <col min="20" max="20" width="7.7109375" style="305" customWidth="1"/>
    <col min="21" max="16384" width="9.140625" style="305"/>
  </cols>
  <sheetData>
    <row r="1" spans="1:17" ht="15.75" thickBot="1" x14ac:dyDescent="0.3">
      <c r="A1" s="256" t="s">
        <v>162</v>
      </c>
      <c r="B1" s="254" t="str">
        <f>IF(DevMode!B3="","Unused",DevMode!B3)</f>
        <v>OOD (FC-300)</v>
      </c>
      <c r="C1" s="32" t="str">
        <f>IF(DevMode!B4="","Unused",DevMode!B4)</f>
        <v>AOOD (FC-300)</v>
      </c>
      <c r="D1" s="32" t="str">
        <f>IF(DevMode!B5="","Unused",DevMode!B5)</f>
        <v>Duty Driver (FC-300)</v>
      </c>
      <c r="E1" s="32" t="str">
        <f>IF(DevMode!B6="","Unused",DevMode!B6)</f>
        <v>DNCO (FC-370)</v>
      </c>
      <c r="F1" s="32" t="str">
        <f>IF(DevMode!B7="","Unused",DevMode!B7)</f>
        <v>ADNCO (FC-370)</v>
      </c>
      <c r="G1" s="32" t="str">
        <f>IF(DevMode!B8="","Unused",DevMode!B8)</f>
        <v>Rover 1 (FC-371)</v>
      </c>
      <c r="H1" s="32" t="str">
        <f>IF(DevMode!B9="","Unused",DevMode!B9)</f>
        <v>Rover 2 (FC-371)</v>
      </c>
      <c r="I1" s="32" t="str">
        <f>IF(DevMode!B10="","Unused",DevMode!B10)</f>
        <v>Rover 1 (FC-372)</v>
      </c>
      <c r="J1" s="32" t="str">
        <f>IF(DevMode!B11="","Unused",DevMode!B11)</f>
        <v>Rover 2 (FC-372)</v>
      </c>
      <c r="K1" s="32" t="str">
        <f>IF(DevMode!B12="","Unused",DevMode!B12)</f>
        <v>DNCO (FC-481)</v>
      </c>
      <c r="L1" s="32" t="str">
        <f>IF(DevMode!B13="","Unused",DevMode!B13)</f>
        <v>ADNCO (FC-481)</v>
      </c>
      <c r="M1" s="32" t="str">
        <f>IF(DevMode!B14="","Unused",DevMode!B14)</f>
        <v>Rover 1 (FC-481)</v>
      </c>
      <c r="N1" s="32" t="str">
        <f>IF(DevMode!B15="","Unused",DevMode!B15)</f>
        <v>Rover 2 (FC-481)</v>
      </c>
      <c r="O1" s="388" t="s">
        <v>77</v>
      </c>
      <c r="P1" s="389"/>
      <c r="Q1" s="390"/>
    </row>
    <row r="2" spans="1:17" ht="15.75" thickBot="1" x14ac:dyDescent="0.3">
      <c r="A2" s="255" t="str">
        <f>IF(DevMode!I12="","Unused",DevMode!I12)</f>
        <v>Unused</v>
      </c>
      <c r="B2" s="233">
        <f>COUNTIF(Sheet2!D4:D65,TEXT(A2,))</f>
        <v>0</v>
      </c>
      <c r="C2" s="234">
        <f>COUNTIF(Sheet2!G4:G65,TEXT(A2,))</f>
        <v>0</v>
      </c>
      <c r="D2" s="234">
        <f>COUNTIF(Sheet2!J4:J65,TEXT(A2,))</f>
        <v>0</v>
      </c>
      <c r="E2" s="234">
        <f>COUNTIF(Sheet4!D4:D65,TEXT(A2,))</f>
        <v>0</v>
      </c>
      <c r="F2" s="234">
        <f>COUNTIF(Sheet4!G4:G65,TEXT(A2,))</f>
        <v>0</v>
      </c>
      <c r="G2" s="234">
        <f>COUNTIF(Sheet4!J4:J65,TEXT(A2,))</f>
        <v>0</v>
      </c>
      <c r="H2" s="234">
        <f>COUNTIF(Sheet4!M4:M65,TEXT(A2,))</f>
        <v>0</v>
      </c>
      <c r="I2" s="234">
        <f>COUNTIF(Sheet4!P4:P65,TEXT(A2,))</f>
        <v>0</v>
      </c>
      <c r="J2" s="234">
        <f>COUNTIF(Sheet4!S4:S65,TEXT(A2,))</f>
        <v>0</v>
      </c>
      <c r="K2" s="234">
        <f>COUNTIF(Sheet5!D4:D65,TEXT(A2,))</f>
        <v>0</v>
      </c>
      <c r="L2" s="234">
        <f>COUNTIF(Sheet5!G4:G65,TEXT(A2,))</f>
        <v>0</v>
      </c>
      <c r="M2" s="234">
        <f>COUNTIF(Sheet5!J4:J65,TEXT(A2,))</f>
        <v>0</v>
      </c>
      <c r="N2" s="235">
        <f>COUNTIF(Sheet5!M4:M65,TEXT(A2,))</f>
        <v>0</v>
      </c>
      <c r="O2" s="225">
        <f>SUM(B2:N2)</f>
        <v>0</v>
      </c>
      <c r="P2" s="226" t="str">
        <f>IF(O2&lt;C33,"LOW",IF(AND(O2=C33,O2&lt;&gt;0),"GOOD",IF(O2&gt;C33,"HIGH",IF(AND(O2=C33,C33=0),"N/A",))))</f>
        <v>N/A</v>
      </c>
      <c r="Q2" s="227">
        <f>IFERROR(SUM(B2:N2)/L94,0)</f>
        <v>0</v>
      </c>
    </row>
    <row r="3" spans="1:17" ht="15.75" thickBot="1" x14ac:dyDescent="0.3">
      <c r="A3" s="83" t="str">
        <f>IF(DevMode!I13="","Unused",DevMode!I13)</f>
        <v>Unused</v>
      </c>
      <c r="B3" s="236">
        <f>COUNTIF(Sheet2!D4:D65,TEXT(A3,))</f>
        <v>0</v>
      </c>
      <c r="C3" s="237">
        <f>COUNTIF(Sheet2!G4:G65,TEXT(A3,))</f>
        <v>0</v>
      </c>
      <c r="D3" s="237">
        <f>COUNTIF(Sheet2!J4:J65,TEXT(A3,))</f>
        <v>0</v>
      </c>
      <c r="E3" s="237">
        <f>COUNTIF(Sheet4!D4:D65,TEXT(A3,))</f>
        <v>0</v>
      </c>
      <c r="F3" s="237">
        <f>COUNTIF(Sheet4!G4:G65,TEXT(A3,))</f>
        <v>0</v>
      </c>
      <c r="G3" s="237">
        <f>COUNTIF(Sheet4!J4:J65,TEXT(A3,))</f>
        <v>0</v>
      </c>
      <c r="H3" s="237">
        <f>COUNTIF(Sheet4!M4:M65,TEXT(A3,))</f>
        <v>0</v>
      </c>
      <c r="I3" s="237">
        <f>COUNTIF(Sheet4!P4:P65,TEXT(A3,))</f>
        <v>0</v>
      </c>
      <c r="J3" s="237">
        <f>COUNTIF(Sheet4!S4:S65,TEXT(A3,))</f>
        <v>0</v>
      </c>
      <c r="K3" s="237">
        <f>COUNTIF(Sheet5!D4:D65,TEXT(A3,))</f>
        <v>0</v>
      </c>
      <c r="L3" s="237">
        <f>COUNTIF(Sheet5!G4:G65,TEXT(A3,))</f>
        <v>0</v>
      </c>
      <c r="M3" s="237">
        <f>COUNTIF(Sheet5!J4:J65,TEXT(A3,))</f>
        <v>0</v>
      </c>
      <c r="N3" s="238">
        <f>COUNTIF(Sheet5!M4:M65,TEXT(A3,))</f>
        <v>0</v>
      </c>
      <c r="O3" s="228">
        <f t="shared" ref="O3:O8" si="0">SUM(B3:N3)</f>
        <v>0</v>
      </c>
      <c r="P3" s="224" t="str">
        <f>IF(O3&lt;F33,"LOW",IF(AND(O3=F33,O3&lt;&gt;0),"GOOD",IF(O3&gt;F33,"HIGH",IF(AND(O3=F33,F33=0),"N/A",))))</f>
        <v>N/A</v>
      </c>
      <c r="Q3" s="229">
        <f>IFERROR(SUM(B3:N3)/L94,0)</f>
        <v>0</v>
      </c>
    </row>
    <row r="4" spans="1:17" ht="15.75" thickBot="1" x14ac:dyDescent="0.3">
      <c r="A4" s="82" t="str">
        <f>IF(DevMode!I14="","Unused",DevMode!I14)</f>
        <v>Unused</v>
      </c>
      <c r="B4" s="239">
        <f>COUNTIF(Sheet2!D4:D65,TEXT(A4,))</f>
        <v>0</v>
      </c>
      <c r="C4" s="240">
        <f>COUNTIF(Sheet2!G4:G65,TEXT(A4,))</f>
        <v>0</v>
      </c>
      <c r="D4" s="240">
        <f>COUNTIF(Sheet2!J4:J65,TEXT(A4,))</f>
        <v>0</v>
      </c>
      <c r="E4" s="240">
        <f>COUNTIF(Sheet4!D4:D65,TEXT(A4,))</f>
        <v>0</v>
      </c>
      <c r="F4" s="240">
        <f>COUNTIF(Sheet4!G4:G65,TEXT(A4,))</f>
        <v>0</v>
      </c>
      <c r="G4" s="240">
        <f>COUNTIF(Sheet4!J4:J65,TEXT(A4,))</f>
        <v>0</v>
      </c>
      <c r="H4" s="240">
        <f>COUNTIF(Sheet4!M4:M65,TEXT(A4,))</f>
        <v>0</v>
      </c>
      <c r="I4" s="240">
        <f>COUNTIF(Sheet4!P4:P65,TEXT(A4,))</f>
        <v>0</v>
      </c>
      <c r="J4" s="240">
        <f>COUNTIF(Sheet4!S4:S65,TEXT(A4,))</f>
        <v>0</v>
      </c>
      <c r="K4" s="240">
        <f>COUNTIF(Sheet5!D4:D65,TEXT(A4,))</f>
        <v>0</v>
      </c>
      <c r="L4" s="240">
        <f>COUNTIF(Sheet5!G4:G65,TEXT(A4,))</f>
        <v>0</v>
      </c>
      <c r="M4" s="240">
        <f>COUNTIF(Sheet5!J4:J65,TEXT(A4,))</f>
        <v>0</v>
      </c>
      <c r="N4" s="241">
        <f>COUNTIF(Sheet5!M4:M65,TEXT(A4,))</f>
        <v>0</v>
      </c>
      <c r="O4" s="228">
        <f t="shared" si="0"/>
        <v>0</v>
      </c>
      <c r="P4" s="224" t="str">
        <f>IF(O4&lt;I33,"LOW",IF(AND(O4=I33,O4&lt;&gt;0),"GOOD",IF(O4&gt;I33,"HIGH",IF(AND(O4=I33,I33=0),"N/A",))))</f>
        <v>N/A</v>
      </c>
      <c r="Q4" s="229">
        <f>IFERROR(SUM(B4:N4)/L94,0)</f>
        <v>0</v>
      </c>
    </row>
    <row r="5" spans="1:17" ht="15.75" thickBot="1" x14ac:dyDescent="0.3">
      <c r="A5" s="81" t="str">
        <f>IF(DevMode!I15="","Unused",DevMode!I15)</f>
        <v>Unused</v>
      </c>
      <c r="B5" s="242">
        <f>COUNTIF(Sheet2!D4:D65,TEXT(A5,))</f>
        <v>0</v>
      </c>
      <c r="C5" s="243">
        <f>COUNTIF(Sheet2!G4:G65,TEXT(A5,))</f>
        <v>0</v>
      </c>
      <c r="D5" s="243">
        <f>COUNTIF(Sheet2!J4:J65,TEXT(A5,))</f>
        <v>0</v>
      </c>
      <c r="E5" s="243">
        <f>COUNTIF(Sheet4!D4:D65,TEXT(A5,))</f>
        <v>0</v>
      </c>
      <c r="F5" s="243">
        <f>COUNTIF(Sheet4!G4:G65,TEXT(A5,))</f>
        <v>0</v>
      </c>
      <c r="G5" s="243">
        <f>COUNTIF(Sheet4!J4:J65,TEXT(A5,))</f>
        <v>0</v>
      </c>
      <c r="H5" s="243">
        <f>COUNTIF(Sheet4!M4:M65,TEXT(A5,))</f>
        <v>0</v>
      </c>
      <c r="I5" s="243">
        <f>COUNTIF(Sheet4!P4:P65,TEXT(A5,))</f>
        <v>0</v>
      </c>
      <c r="J5" s="243">
        <f>COUNTIF(Sheet4!S4:S65,TEXT(A5,))</f>
        <v>0</v>
      </c>
      <c r="K5" s="243">
        <f>COUNTIF(Sheet5!D4:D65,TEXT(A5,))</f>
        <v>0</v>
      </c>
      <c r="L5" s="243">
        <f>COUNTIF(Sheet5!G4:G65,TEXT(A5,))</f>
        <v>0</v>
      </c>
      <c r="M5" s="243">
        <f>COUNTIF(Sheet5!J4:J65,TEXT(A5,))</f>
        <v>0</v>
      </c>
      <c r="N5" s="244">
        <f>COUNTIF(Sheet5!M4:M65,TEXT(A5,))</f>
        <v>0</v>
      </c>
      <c r="O5" s="228">
        <f t="shared" si="0"/>
        <v>0</v>
      </c>
      <c r="P5" s="224" t="str">
        <f>IF(O5&lt;L33,"LOW",IF(AND(O5=L33,O5&lt;&gt;0),"GOOD",IF(O5&gt;L33,"HIGH",IF(AND(O5=L33,L33=0),"N/A",))))</f>
        <v>N/A</v>
      </c>
      <c r="Q5" s="229">
        <f>IFERROR(SUM(B5:N5)/L94,0)</f>
        <v>0</v>
      </c>
    </row>
    <row r="6" spans="1:17" ht="15.75" thickBot="1" x14ac:dyDescent="0.3">
      <c r="A6" s="34" t="str">
        <f>IF(DevMode!I16="","Unused",DevMode!I16)</f>
        <v>Unused</v>
      </c>
      <c r="B6" s="248">
        <f>COUNTIF(Sheet2!D4:D65,TEXT(A6,))</f>
        <v>0</v>
      </c>
      <c r="C6" s="249">
        <f>COUNTIF(Sheet2!G4:G65,TEXT(A6,))</f>
        <v>0</v>
      </c>
      <c r="D6" s="249">
        <f>COUNTIF(Sheet2!J4:J65,TEXT(A6,))</f>
        <v>0</v>
      </c>
      <c r="E6" s="249">
        <f>COUNTIF(Sheet4!D4:D65,TEXT(A6,))</f>
        <v>0</v>
      </c>
      <c r="F6" s="249">
        <f>COUNTIF(Sheet4!G4:G65,TEXT(A6,))</f>
        <v>0</v>
      </c>
      <c r="G6" s="249">
        <f>COUNTIF(Sheet4!J4:J65,TEXT(A6,))</f>
        <v>0</v>
      </c>
      <c r="H6" s="249">
        <f>COUNTIF(Sheet4!M4:M65,TEXT(A6,))</f>
        <v>0</v>
      </c>
      <c r="I6" s="249">
        <f>COUNTIF(Sheet4!P4:P65,TEXT(A6,))</f>
        <v>0</v>
      </c>
      <c r="J6" s="249">
        <f>COUNTIF(Sheet4!S4:S65,TEXT(A6,))</f>
        <v>0</v>
      </c>
      <c r="K6" s="249">
        <f>COUNTIF(Sheet5!D4:D65,TEXT(A6,))</f>
        <v>0</v>
      </c>
      <c r="L6" s="249">
        <f>COUNTIF(Sheet5!G4:G65,TEXT(A6,))</f>
        <v>0</v>
      </c>
      <c r="M6" s="249">
        <f>COUNTIF(Sheet5!J4:J65,TEXT(A6,))</f>
        <v>0</v>
      </c>
      <c r="N6" s="250">
        <f>COUNTIF(Sheet5!M4:M65,TEXT(A6,))</f>
        <v>0</v>
      </c>
      <c r="O6" s="228">
        <f t="shared" si="0"/>
        <v>0</v>
      </c>
      <c r="P6" s="224" t="str">
        <f>IF(O6&lt;C57,"LOW",IF(AND(O6=C57,O6&lt;&gt;0),"GOOD",IF(O6&gt;C57,"HIGH",IF(AND(O6=C57,C57=0),"N/A",))))</f>
        <v>N/A</v>
      </c>
      <c r="Q6" s="229">
        <f>IFERROR(SUM(B6:N6)/L94,0)</f>
        <v>0</v>
      </c>
    </row>
    <row r="7" spans="1:17" ht="15.75" thickBot="1" x14ac:dyDescent="0.3">
      <c r="A7" s="35" t="str">
        <f>IF(DevMode!I17="","Unused",DevMode!I17)</f>
        <v>Unused</v>
      </c>
      <c r="B7" s="245">
        <f>COUNTIF(Sheet2!D4:D65,TEXT(A7,))</f>
        <v>0</v>
      </c>
      <c r="C7" s="246">
        <f>COUNTIF(Sheet2!G4:G65,TEXT(A7,))</f>
        <v>0</v>
      </c>
      <c r="D7" s="246">
        <f>COUNTIF(Sheet2!J4:J65,TEXT(A7,))</f>
        <v>0</v>
      </c>
      <c r="E7" s="246">
        <f>COUNTIF(Sheet4!D4:D65,TEXT(A7,))</f>
        <v>0</v>
      </c>
      <c r="F7" s="246">
        <f>COUNTIF(Sheet4!G4:G65,TEXT(A7,))</f>
        <v>0</v>
      </c>
      <c r="G7" s="246">
        <f>COUNTIF(Sheet4!J4:J65,TEXT(A7,))</f>
        <v>0</v>
      </c>
      <c r="H7" s="246">
        <f>COUNTIF(Sheet4!M4:M65,TEXT(A7,))</f>
        <v>0</v>
      </c>
      <c r="I7" s="246">
        <f>COUNTIF(Sheet4!P4:P65,TEXT(A7,))</f>
        <v>0</v>
      </c>
      <c r="J7" s="246">
        <f>COUNTIF(Sheet4!S4:S65,TEXT(A7,))</f>
        <v>0</v>
      </c>
      <c r="K7" s="246">
        <f>COUNTIF(Sheet5!D4:D65,TEXT(A7,))</f>
        <v>0</v>
      </c>
      <c r="L7" s="246">
        <f>COUNTIF(Sheet5!G4:G65,TEXT(A7,))</f>
        <v>0</v>
      </c>
      <c r="M7" s="246">
        <f>COUNTIF(Sheet5!J4:J65,TEXT(A7,))</f>
        <v>0</v>
      </c>
      <c r="N7" s="247">
        <f>COUNTIF(Sheet5!M4:M65,TEXT(A7,))</f>
        <v>0</v>
      </c>
      <c r="O7" s="228">
        <f t="shared" si="0"/>
        <v>0</v>
      </c>
      <c r="P7" s="224" t="str">
        <f>IF(O7&lt;F57,"LOW",IF(AND(O7=F57,O7&lt;&gt;0),"GOOD",IF(O7&gt;F57,"HIGH",IF(AND(O7=F57,F57=0),"N/A",))))</f>
        <v>N/A</v>
      </c>
      <c r="Q7" s="229">
        <f>IFERROR(SUM(B7:N7)/L94,0)</f>
        <v>0</v>
      </c>
    </row>
    <row r="8" spans="1:17" ht="15.75" thickBot="1" x14ac:dyDescent="0.3">
      <c r="A8" s="80" t="str">
        <f>IF(DevMode!I18="","Unused",DevMode!I18)</f>
        <v>Unused</v>
      </c>
      <c r="B8" s="251">
        <f>COUNTIF(Sheet2!D4:D65,TEXT(A8,))</f>
        <v>0</v>
      </c>
      <c r="C8" s="252">
        <f>COUNTIF(Sheet2!G4:G65,TEXT(A8,))</f>
        <v>0</v>
      </c>
      <c r="D8" s="252">
        <f>COUNTIF(Sheet2!J4:J65,TEXT(A8,))</f>
        <v>0</v>
      </c>
      <c r="E8" s="252">
        <f>COUNTIF(Sheet4!D4:D65,TEXT(A8,))</f>
        <v>0</v>
      </c>
      <c r="F8" s="252">
        <f>COUNTIF(Sheet4!G4:G65,TEXT(A8,))</f>
        <v>0</v>
      </c>
      <c r="G8" s="252">
        <f>COUNTIF(Sheet4!J4:J65,TEXT(A8,))</f>
        <v>0</v>
      </c>
      <c r="H8" s="252">
        <f>COUNTIF(Sheet4!M4:M65,TEXT(A8,))</f>
        <v>0</v>
      </c>
      <c r="I8" s="252">
        <f>COUNTIF(Sheet4!P4:P65,TEXT(A8,))</f>
        <v>0</v>
      </c>
      <c r="J8" s="252">
        <f>COUNTIF(Sheet4!S4:S65,TEXT(A8,))</f>
        <v>0</v>
      </c>
      <c r="K8" s="252">
        <f>COUNTIF(Sheet5!D4:D65,TEXT(A8,))</f>
        <v>0</v>
      </c>
      <c r="L8" s="252">
        <f>COUNTIF(Sheet5!G4:G65,TEXT(A8,))</f>
        <v>0</v>
      </c>
      <c r="M8" s="252">
        <f>COUNTIF(Sheet5!J4:J65,TEXT(A8,))</f>
        <v>0</v>
      </c>
      <c r="N8" s="253">
        <f>COUNTIF(Sheet5!M4:M65,TEXT(A8,))</f>
        <v>0</v>
      </c>
      <c r="O8" s="230">
        <f t="shared" si="0"/>
        <v>0</v>
      </c>
      <c r="P8" s="231" t="str">
        <f>IF(O8&lt;I57,"LOW",IF(AND(O8=I57,O8&lt;&gt;0),"GOOD",IF(O8&gt;I57,"HIGH",IF(AND(O8=I57,I57=0),"N/A",))))</f>
        <v>N/A</v>
      </c>
      <c r="Q8" s="232">
        <f>IFERROR(SUM(B8:N8)/L94,0)</f>
        <v>0</v>
      </c>
    </row>
    <row r="9" spans="1:17" ht="15.75" thickBot="1" x14ac:dyDescent="0.3">
      <c r="A9" s="309"/>
      <c r="B9" s="310"/>
      <c r="C9" s="310"/>
      <c r="D9" s="310"/>
      <c r="E9" s="310"/>
      <c r="F9" s="310"/>
      <c r="G9" s="310"/>
      <c r="H9" s="310"/>
      <c r="I9" s="310"/>
      <c r="J9" s="310"/>
      <c r="K9" s="310"/>
      <c r="L9" s="310"/>
      <c r="M9" s="310"/>
      <c r="N9" s="310"/>
      <c r="O9" s="309"/>
      <c r="P9" s="309"/>
    </row>
    <row r="10" spans="1:17" ht="15.75" thickBot="1" x14ac:dyDescent="0.3">
      <c r="N10" s="257" t="s">
        <v>81</v>
      </c>
      <c r="O10" s="433"/>
      <c r="P10" s="434"/>
      <c r="Q10" s="435"/>
    </row>
    <row r="11" spans="1:17" ht="15.75" thickBot="1" x14ac:dyDescent="0.3">
      <c r="A11" s="411" t="str">
        <f>IF(DevMode!F12="","Unused",DevMode!F12)</f>
        <v>Unused</v>
      </c>
      <c r="B11" s="412"/>
      <c r="C11" s="413"/>
      <c r="D11" s="414" t="str">
        <f>IF(DevMode!F13="","Unused",DevMode!F13)</f>
        <v>Unused</v>
      </c>
      <c r="E11" s="415"/>
      <c r="F11" s="416"/>
      <c r="G11" s="417" t="str">
        <f>IF(DevMode!F14="","Unused",DevMode!F14)</f>
        <v>Unused</v>
      </c>
      <c r="H11" s="418"/>
      <c r="I11" s="419"/>
      <c r="J11" s="420" t="str">
        <f>IF(DevMode!F15="","Unused",DevMode!F15)</f>
        <v>Unused</v>
      </c>
      <c r="K11" s="421"/>
      <c r="L11" s="422"/>
    </row>
    <row r="12" spans="1:17" ht="15.75" thickBot="1" x14ac:dyDescent="0.3">
      <c r="A12" s="36" t="s">
        <v>32</v>
      </c>
      <c r="B12" s="36" t="s">
        <v>34</v>
      </c>
      <c r="C12" s="37" t="s">
        <v>33</v>
      </c>
      <c r="D12" s="38" t="s">
        <v>32</v>
      </c>
      <c r="E12" s="38" t="s">
        <v>34</v>
      </c>
      <c r="F12" s="39" t="s">
        <v>33</v>
      </c>
      <c r="G12" s="40" t="s">
        <v>32</v>
      </c>
      <c r="H12" s="40" t="s">
        <v>34</v>
      </c>
      <c r="I12" s="41" t="s">
        <v>33</v>
      </c>
      <c r="J12" s="42" t="s">
        <v>32</v>
      </c>
      <c r="K12" s="42" t="s">
        <v>34</v>
      </c>
      <c r="L12" s="43" t="s">
        <v>33</v>
      </c>
      <c r="N12" s="309"/>
    </row>
    <row r="13" spans="1:17" x14ac:dyDescent="0.25">
      <c r="A13" s="172" t="s">
        <v>86</v>
      </c>
      <c r="B13" s="173">
        <v>20</v>
      </c>
      <c r="C13" s="174" t="str">
        <f>IFERROR(IF(SUM($B$91*B13)=0,"",IF(AND($L$94&lt;&gt;$L$98,$L$60=A70),SUM(ROUND($B$91*B13,0),$A$91),ROUND($B$91*B13,0))),0)</f>
        <v/>
      </c>
      <c r="D13" s="181" t="s">
        <v>86</v>
      </c>
      <c r="E13" s="182">
        <v>20</v>
      </c>
      <c r="F13" s="183" t="str">
        <f>IFERROR(IF(SUM($E$91*E13)=0,"",IF(AND($L$94&lt;&gt;$L$98,$L$61=D70),SUM(ROUND($E$91*E13,0),$D$91),ROUND($E$91*E13,0))),0)</f>
        <v/>
      </c>
      <c r="G13" s="190" t="s">
        <v>86</v>
      </c>
      <c r="H13" s="191">
        <v>20</v>
      </c>
      <c r="I13" s="192" t="str">
        <f>IFERROR(IF(SUM($H$91*H13)=0,"",IF(AND($L$94&lt;&gt;$L$98,$L$62=G70),SUM(ROUND($H$91*H13,0),$G$91),ROUND($H$91*H13,0))),0)</f>
        <v/>
      </c>
      <c r="J13" s="199" t="s">
        <v>86</v>
      </c>
      <c r="K13" s="200">
        <v>20</v>
      </c>
      <c r="L13" s="201" t="str">
        <f>IFERROR(IF(SUM($K$91*K13)=0,"",IF(AND($L$94&lt;&gt;$L$98,$L$63=J70),SUM(ROUND($K$91*K13,0),$J$91),ROUND($K$91*K13,0))),0)</f>
        <v/>
      </c>
      <c r="P13" s="311"/>
    </row>
    <row r="14" spans="1:17" x14ac:dyDescent="0.25">
      <c r="A14" s="175" t="s">
        <v>87</v>
      </c>
      <c r="B14" s="166">
        <v>20</v>
      </c>
      <c r="C14" s="176" t="str">
        <f t="shared" ref="C14:C32" si="1">IFERROR(IF(SUM($B$91*B14)=0,"",IF(AND($L$94&lt;&gt;$L$98,$L$60=A71),SUM(ROUND($B$91*B14,0),$A$91),ROUND($B$91*B14,0))),0)</f>
        <v/>
      </c>
      <c r="D14" s="184" t="s">
        <v>87</v>
      </c>
      <c r="E14" s="167">
        <v>20</v>
      </c>
      <c r="F14" s="185" t="str">
        <f t="shared" ref="F14:F32" si="2">IFERROR(IF(SUM($E$91*E14)=0,"",IF(AND($L$94&lt;&gt;$L$98,$L$61=D71),SUM(ROUND($E$91*E14,0),$D$91),ROUND($E$91*E14,0))),0)</f>
        <v/>
      </c>
      <c r="G14" s="193" t="s">
        <v>87</v>
      </c>
      <c r="H14" s="168">
        <v>20</v>
      </c>
      <c r="I14" s="194" t="str">
        <f t="shared" ref="I14:I32" si="3">IFERROR(IF(SUM($H$91*H14)=0,"",IF(AND($L$94&lt;&gt;$L$98,$L$62=G71),SUM(ROUND($H$91*H14,0),$G$91),ROUND($H$91*H14,0))),0)</f>
        <v/>
      </c>
      <c r="J14" s="202" t="s">
        <v>87</v>
      </c>
      <c r="K14" s="169">
        <v>20</v>
      </c>
      <c r="L14" s="203" t="str">
        <f t="shared" ref="L14:L32" si="4">IFERROR(IF(SUM($K$91*K14)=0,"",IF(AND($L$94&lt;&gt;$L$98,$L$63=J71),SUM(ROUND($K$91*K14,0),$J$91),ROUND($K$91*K14,0))),0)</f>
        <v/>
      </c>
    </row>
    <row r="15" spans="1:17" x14ac:dyDescent="0.25">
      <c r="A15" s="175" t="s">
        <v>88</v>
      </c>
      <c r="B15" s="166">
        <v>20</v>
      </c>
      <c r="C15" s="176" t="str">
        <f t="shared" si="1"/>
        <v/>
      </c>
      <c r="D15" s="184" t="s">
        <v>88</v>
      </c>
      <c r="E15" s="167">
        <v>20</v>
      </c>
      <c r="F15" s="185" t="str">
        <f t="shared" si="2"/>
        <v/>
      </c>
      <c r="G15" s="193" t="s">
        <v>88</v>
      </c>
      <c r="H15" s="168">
        <v>20</v>
      </c>
      <c r="I15" s="194" t="str">
        <f t="shared" si="3"/>
        <v/>
      </c>
      <c r="J15" s="202" t="s">
        <v>88</v>
      </c>
      <c r="K15" s="169">
        <v>20</v>
      </c>
      <c r="L15" s="203" t="str">
        <f t="shared" si="4"/>
        <v/>
      </c>
    </row>
    <row r="16" spans="1:17" x14ac:dyDescent="0.25">
      <c r="A16" s="175" t="s">
        <v>89</v>
      </c>
      <c r="B16" s="166">
        <v>20</v>
      </c>
      <c r="C16" s="176" t="str">
        <f t="shared" si="1"/>
        <v/>
      </c>
      <c r="D16" s="184" t="s">
        <v>89</v>
      </c>
      <c r="E16" s="167">
        <v>20</v>
      </c>
      <c r="F16" s="185" t="str">
        <f t="shared" si="2"/>
        <v/>
      </c>
      <c r="G16" s="193" t="s">
        <v>89</v>
      </c>
      <c r="H16" s="168">
        <v>20</v>
      </c>
      <c r="I16" s="194" t="str">
        <f t="shared" si="3"/>
        <v/>
      </c>
      <c r="J16" s="202" t="s">
        <v>89</v>
      </c>
      <c r="K16" s="169">
        <v>20</v>
      </c>
      <c r="L16" s="203" t="str">
        <f t="shared" si="4"/>
        <v/>
      </c>
    </row>
    <row r="17" spans="1:12" x14ac:dyDescent="0.25">
      <c r="A17" s="175" t="s">
        <v>90</v>
      </c>
      <c r="B17" s="166">
        <v>20</v>
      </c>
      <c r="C17" s="176" t="str">
        <f t="shared" si="1"/>
        <v/>
      </c>
      <c r="D17" s="186" t="s">
        <v>90</v>
      </c>
      <c r="E17" s="167">
        <v>20</v>
      </c>
      <c r="F17" s="185" t="str">
        <f t="shared" si="2"/>
        <v/>
      </c>
      <c r="G17" s="193" t="s">
        <v>90</v>
      </c>
      <c r="H17" s="168">
        <v>20</v>
      </c>
      <c r="I17" s="194" t="str">
        <f t="shared" si="3"/>
        <v/>
      </c>
      <c r="J17" s="202" t="s">
        <v>90</v>
      </c>
      <c r="K17" s="169">
        <v>20</v>
      </c>
      <c r="L17" s="203" t="str">
        <f t="shared" si="4"/>
        <v/>
      </c>
    </row>
    <row r="18" spans="1:12" x14ac:dyDescent="0.25">
      <c r="A18" s="175"/>
      <c r="B18" s="166"/>
      <c r="C18" s="176" t="str">
        <f t="shared" si="1"/>
        <v/>
      </c>
      <c r="D18" s="186"/>
      <c r="E18" s="167"/>
      <c r="F18" s="185" t="str">
        <f t="shared" si="2"/>
        <v/>
      </c>
      <c r="G18" s="195"/>
      <c r="H18" s="168"/>
      <c r="I18" s="194" t="str">
        <f t="shared" si="3"/>
        <v/>
      </c>
      <c r="J18" s="202"/>
      <c r="K18" s="169"/>
      <c r="L18" s="203" t="str">
        <f t="shared" si="4"/>
        <v/>
      </c>
    </row>
    <row r="19" spans="1:12" x14ac:dyDescent="0.25">
      <c r="A19" s="177"/>
      <c r="B19" s="166"/>
      <c r="C19" s="176" t="str">
        <f t="shared" si="1"/>
        <v/>
      </c>
      <c r="D19" s="186"/>
      <c r="E19" s="167"/>
      <c r="F19" s="185" t="str">
        <f t="shared" si="2"/>
        <v/>
      </c>
      <c r="G19" s="195"/>
      <c r="H19" s="168"/>
      <c r="I19" s="194" t="str">
        <f t="shared" si="3"/>
        <v/>
      </c>
      <c r="J19" s="202"/>
      <c r="K19" s="169"/>
      <c r="L19" s="203" t="str">
        <f t="shared" si="4"/>
        <v/>
      </c>
    </row>
    <row r="20" spans="1:12" x14ac:dyDescent="0.25">
      <c r="A20" s="177"/>
      <c r="B20" s="166"/>
      <c r="C20" s="176" t="str">
        <f t="shared" si="1"/>
        <v/>
      </c>
      <c r="D20" s="186"/>
      <c r="E20" s="167"/>
      <c r="F20" s="185" t="str">
        <f t="shared" si="2"/>
        <v/>
      </c>
      <c r="G20" s="195"/>
      <c r="H20" s="168"/>
      <c r="I20" s="194" t="str">
        <f t="shared" si="3"/>
        <v/>
      </c>
      <c r="J20" s="202"/>
      <c r="K20" s="169"/>
      <c r="L20" s="203" t="str">
        <f t="shared" si="4"/>
        <v/>
      </c>
    </row>
    <row r="21" spans="1:12" x14ac:dyDescent="0.25">
      <c r="A21" s="177"/>
      <c r="B21" s="166"/>
      <c r="C21" s="176" t="str">
        <f t="shared" si="1"/>
        <v/>
      </c>
      <c r="D21" s="186"/>
      <c r="E21" s="167"/>
      <c r="F21" s="185" t="str">
        <f t="shared" si="2"/>
        <v/>
      </c>
      <c r="G21" s="195"/>
      <c r="H21" s="168"/>
      <c r="I21" s="194" t="str">
        <f t="shared" si="3"/>
        <v/>
      </c>
      <c r="J21" s="202"/>
      <c r="K21" s="169"/>
      <c r="L21" s="203" t="str">
        <f t="shared" si="4"/>
        <v/>
      </c>
    </row>
    <row r="22" spans="1:12" x14ac:dyDescent="0.25">
      <c r="A22" s="177"/>
      <c r="B22" s="166"/>
      <c r="C22" s="176" t="str">
        <f t="shared" si="1"/>
        <v/>
      </c>
      <c r="D22" s="186"/>
      <c r="E22" s="167"/>
      <c r="F22" s="185" t="str">
        <f t="shared" si="2"/>
        <v/>
      </c>
      <c r="G22" s="195"/>
      <c r="H22" s="168"/>
      <c r="I22" s="194" t="str">
        <f t="shared" si="3"/>
        <v/>
      </c>
      <c r="J22" s="202"/>
      <c r="K22" s="169"/>
      <c r="L22" s="203" t="str">
        <f t="shared" si="4"/>
        <v/>
      </c>
    </row>
    <row r="23" spans="1:12" x14ac:dyDescent="0.25">
      <c r="A23" s="177"/>
      <c r="B23" s="166"/>
      <c r="C23" s="176" t="str">
        <f t="shared" si="1"/>
        <v/>
      </c>
      <c r="D23" s="186"/>
      <c r="E23" s="167"/>
      <c r="F23" s="185" t="str">
        <f t="shared" si="2"/>
        <v/>
      </c>
      <c r="G23" s="195"/>
      <c r="H23" s="168"/>
      <c r="I23" s="194" t="str">
        <f t="shared" si="3"/>
        <v/>
      </c>
      <c r="J23" s="202"/>
      <c r="K23" s="169"/>
      <c r="L23" s="203" t="str">
        <f t="shared" si="4"/>
        <v/>
      </c>
    </row>
    <row r="24" spans="1:12" x14ac:dyDescent="0.25">
      <c r="A24" s="177"/>
      <c r="B24" s="166"/>
      <c r="C24" s="176" t="str">
        <f t="shared" si="1"/>
        <v/>
      </c>
      <c r="D24" s="186"/>
      <c r="E24" s="167"/>
      <c r="F24" s="185" t="str">
        <f t="shared" si="2"/>
        <v/>
      </c>
      <c r="G24" s="195"/>
      <c r="H24" s="168"/>
      <c r="I24" s="194" t="str">
        <f t="shared" si="3"/>
        <v/>
      </c>
      <c r="J24" s="202"/>
      <c r="K24" s="169"/>
      <c r="L24" s="203" t="str">
        <f t="shared" si="4"/>
        <v/>
      </c>
    </row>
    <row r="25" spans="1:12" x14ac:dyDescent="0.25">
      <c r="A25" s="177"/>
      <c r="B25" s="166"/>
      <c r="C25" s="176" t="str">
        <f t="shared" si="1"/>
        <v/>
      </c>
      <c r="D25" s="186"/>
      <c r="E25" s="167"/>
      <c r="F25" s="185" t="str">
        <f t="shared" si="2"/>
        <v/>
      </c>
      <c r="G25" s="195"/>
      <c r="H25" s="168"/>
      <c r="I25" s="194" t="str">
        <f t="shared" si="3"/>
        <v/>
      </c>
      <c r="J25" s="202"/>
      <c r="K25" s="169"/>
      <c r="L25" s="203" t="str">
        <f t="shared" si="4"/>
        <v/>
      </c>
    </row>
    <row r="26" spans="1:12" x14ac:dyDescent="0.25">
      <c r="A26" s="177"/>
      <c r="B26" s="166"/>
      <c r="C26" s="176" t="str">
        <f t="shared" si="1"/>
        <v/>
      </c>
      <c r="D26" s="186"/>
      <c r="E26" s="167"/>
      <c r="F26" s="185" t="str">
        <f t="shared" si="2"/>
        <v/>
      </c>
      <c r="G26" s="195"/>
      <c r="H26" s="168"/>
      <c r="I26" s="194" t="str">
        <f t="shared" si="3"/>
        <v/>
      </c>
      <c r="J26" s="202"/>
      <c r="K26" s="169"/>
      <c r="L26" s="203" t="str">
        <f t="shared" si="4"/>
        <v/>
      </c>
    </row>
    <row r="27" spans="1:12" x14ac:dyDescent="0.25">
      <c r="A27" s="177"/>
      <c r="B27" s="166"/>
      <c r="C27" s="176" t="str">
        <f t="shared" si="1"/>
        <v/>
      </c>
      <c r="D27" s="186"/>
      <c r="E27" s="167"/>
      <c r="F27" s="185" t="str">
        <f t="shared" si="2"/>
        <v/>
      </c>
      <c r="G27" s="195"/>
      <c r="H27" s="168"/>
      <c r="I27" s="194" t="str">
        <f t="shared" si="3"/>
        <v/>
      </c>
      <c r="J27" s="202"/>
      <c r="K27" s="169"/>
      <c r="L27" s="203" t="str">
        <f t="shared" si="4"/>
        <v/>
      </c>
    </row>
    <row r="28" spans="1:12" x14ac:dyDescent="0.25">
      <c r="A28" s="177"/>
      <c r="B28" s="166"/>
      <c r="C28" s="176" t="str">
        <f t="shared" si="1"/>
        <v/>
      </c>
      <c r="D28" s="186"/>
      <c r="E28" s="167"/>
      <c r="F28" s="185" t="str">
        <f t="shared" si="2"/>
        <v/>
      </c>
      <c r="G28" s="195"/>
      <c r="H28" s="168"/>
      <c r="I28" s="194" t="str">
        <f t="shared" si="3"/>
        <v/>
      </c>
      <c r="J28" s="202"/>
      <c r="K28" s="169"/>
      <c r="L28" s="203" t="str">
        <f t="shared" si="4"/>
        <v/>
      </c>
    </row>
    <row r="29" spans="1:12" x14ac:dyDescent="0.25">
      <c r="A29" s="177"/>
      <c r="B29" s="166"/>
      <c r="C29" s="176" t="str">
        <f t="shared" si="1"/>
        <v/>
      </c>
      <c r="D29" s="186"/>
      <c r="E29" s="167"/>
      <c r="F29" s="185" t="str">
        <f t="shared" si="2"/>
        <v/>
      </c>
      <c r="G29" s="195"/>
      <c r="H29" s="168"/>
      <c r="I29" s="194" t="str">
        <f t="shared" si="3"/>
        <v/>
      </c>
      <c r="J29" s="202"/>
      <c r="K29" s="169"/>
      <c r="L29" s="203" t="str">
        <f t="shared" si="4"/>
        <v/>
      </c>
    </row>
    <row r="30" spans="1:12" x14ac:dyDescent="0.25">
      <c r="A30" s="177"/>
      <c r="B30" s="166"/>
      <c r="C30" s="176" t="str">
        <f t="shared" si="1"/>
        <v/>
      </c>
      <c r="D30" s="186"/>
      <c r="E30" s="167"/>
      <c r="F30" s="185" t="str">
        <f t="shared" si="2"/>
        <v/>
      </c>
      <c r="G30" s="195"/>
      <c r="H30" s="168"/>
      <c r="I30" s="194" t="str">
        <f t="shared" si="3"/>
        <v/>
      </c>
      <c r="J30" s="202"/>
      <c r="K30" s="169"/>
      <c r="L30" s="203" t="str">
        <f t="shared" si="4"/>
        <v/>
      </c>
    </row>
    <row r="31" spans="1:12" x14ac:dyDescent="0.25">
      <c r="A31" s="177"/>
      <c r="B31" s="166"/>
      <c r="C31" s="176" t="str">
        <f t="shared" si="1"/>
        <v/>
      </c>
      <c r="D31" s="186"/>
      <c r="E31" s="167"/>
      <c r="F31" s="185" t="str">
        <f t="shared" si="2"/>
        <v/>
      </c>
      <c r="G31" s="195"/>
      <c r="H31" s="168"/>
      <c r="I31" s="194" t="str">
        <f t="shared" si="3"/>
        <v/>
      </c>
      <c r="J31" s="202"/>
      <c r="K31" s="169"/>
      <c r="L31" s="203" t="str">
        <f t="shared" si="4"/>
        <v/>
      </c>
    </row>
    <row r="32" spans="1:12" ht="15.75" thickBot="1" x14ac:dyDescent="0.3">
      <c r="A32" s="178"/>
      <c r="B32" s="179"/>
      <c r="C32" s="180" t="str">
        <f t="shared" si="1"/>
        <v/>
      </c>
      <c r="D32" s="187"/>
      <c r="E32" s="188"/>
      <c r="F32" s="189" t="str">
        <f t="shared" si="2"/>
        <v/>
      </c>
      <c r="G32" s="196"/>
      <c r="H32" s="197"/>
      <c r="I32" s="198" t="str">
        <f t="shared" si="3"/>
        <v/>
      </c>
      <c r="J32" s="204"/>
      <c r="K32" s="205"/>
      <c r="L32" s="206" t="str">
        <f t="shared" si="4"/>
        <v/>
      </c>
    </row>
    <row r="33" spans="1:14" ht="15.75" thickBot="1" x14ac:dyDescent="0.3">
      <c r="A33" s="60" t="s">
        <v>31</v>
      </c>
      <c r="B33" s="70">
        <f>IF(A11="Unused",0,SUM(B13:B32))</f>
        <v>0</v>
      </c>
      <c r="C33" s="71">
        <f>SUM(C13:C32)</f>
        <v>0</v>
      </c>
      <c r="D33" s="61" t="s">
        <v>31</v>
      </c>
      <c r="E33" s="72">
        <f>IF(D11="Unused",0,SUM(E13:E32))</f>
        <v>0</v>
      </c>
      <c r="F33" s="72">
        <f>SUM(F13:F32)</f>
        <v>0</v>
      </c>
      <c r="G33" s="62" t="s">
        <v>31</v>
      </c>
      <c r="H33" s="73">
        <f>IF(G11="Unused",0,SUM(H13:H32))</f>
        <v>0</v>
      </c>
      <c r="I33" s="73">
        <f>SUM(I13:I32)</f>
        <v>0</v>
      </c>
      <c r="J33" s="63" t="s">
        <v>31</v>
      </c>
      <c r="K33" s="74">
        <f>IF(J11="Unused",0,SUM(K13:K32))</f>
        <v>0</v>
      </c>
      <c r="L33" s="74">
        <f>SUM(L13:L32)</f>
        <v>0</v>
      </c>
    </row>
    <row r="34" spans="1:14" ht="15.75" thickBot="1" x14ac:dyDescent="0.3">
      <c r="A34" s="314"/>
      <c r="B34" s="315"/>
      <c r="C34" s="314"/>
      <c r="D34" s="314"/>
      <c r="E34" s="314"/>
      <c r="F34" s="314"/>
      <c r="G34" s="314"/>
      <c r="H34" s="314"/>
      <c r="I34" s="314"/>
      <c r="J34" s="314"/>
      <c r="K34" s="314"/>
      <c r="L34" s="314"/>
    </row>
    <row r="35" spans="1:14" ht="15.75" thickBot="1" x14ac:dyDescent="0.3">
      <c r="A35" s="401" t="str">
        <f>IF(DevMode!F16="","Unused",DevMode!F16)</f>
        <v>Unused</v>
      </c>
      <c r="B35" s="402"/>
      <c r="C35" s="403"/>
      <c r="D35" s="404" t="str">
        <f>IF(DevMode!F17="","Unused",DevMode!F17)</f>
        <v>Unused</v>
      </c>
      <c r="E35" s="404"/>
      <c r="F35" s="405"/>
      <c r="G35" s="406" t="str">
        <f>IF(DevMode!F18="","Unused",DevMode!F18)</f>
        <v>Unused</v>
      </c>
      <c r="H35" s="407"/>
      <c r="I35" s="407"/>
      <c r="J35" s="430" t="s">
        <v>39</v>
      </c>
      <c r="K35" s="431"/>
      <c r="L35" s="432"/>
    </row>
    <row r="36" spans="1:14" ht="15.75" thickBot="1" x14ac:dyDescent="0.3">
      <c r="A36" s="55" t="s">
        <v>32</v>
      </c>
      <c r="B36" s="56" t="s">
        <v>34</v>
      </c>
      <c r="C36" s="57" t="s">
        <v>33</v>
      </c>
      <c r="D36" s="44" t="s">
        <v>32</v>
      </c>
      <c r="E36" s="45" t="s">
        <v>34</v>
      </c>
      <c r="F36" s="46" t="s">
        <v>33</v>
      </c>
      <c r="G36" s="47" t="s">
        <v>32</v>
      </c>
      <c r="H36" s="47" t="s">
        <v>34</v>
      </c>
      <c r="I36" s="48" t="s">
        <v>33</v>
      </c>
      <c r="J36" s="395" t="s">
        <v>37</v>
      </c>
      <c r="K36" s="396"/>
      <c r="L36" s="111">
        <f>L93</f>
        <v>0</v>
      </c>
    </row>
    <row r="37" spans="1:14" x14ac:dyDescent="0.25">
      <c r="A37" s="64" t="s">
        <v>86</v>
      </c>
      <c r="B37" s="65">
        <v>20</v>
      </c>
      <c r="C37" s="69" t="str">
        <f>IFERROR(IF(SUM($B$115*B37)=0,"",IF(AND($L$94&lt;&gt;$L$98,$L$64=A94),SUM(ROUND($B$115*B37,0),$A$115),ROUND($B$115*B37,0))),0)</f>
        <v/>
      </c>
      <c r="D37" s="270" t="s">
        <v>86</v>
      </c>
      <c r="E37" s="271">
        <v>20</v>
      </c>
      <c r="F37" s="272" t="str">
        <f>IFERROR(IF(SUM($E$115*E37)=0,"",IF(AND($L$94&lt;&gt;$L$98,$L$65=D94),SUM(ROUND($E$115*E37,0),$D$115),ROUND($E$115*E37,0))),0)</f>
        <v/>
      </c>
      <c r="G37" s="279" t="s">
        <v>86</v>
      </c>
      <c r="H37" s="207">
        <v>20</v>
      </c>
      <c r="I37" s="208" t="str">
        <f>IFERROR(IF(SUM($H$115*H37)=0,"",IF(AND($L$94&lt;&gt;$L$98,$L$66=G94),SUM(ROUND($H$115*H37,0),$G$115),ROUND($H$115*H37,0))),0)</f>
        <v/>
      </c>
      <c r="J37" s="397" t="s">
        <v>35</v>
      </c>
      <c r="K37" s="398"/>
      <c r="L37" s="112">
        <f>L94</f>
        <v>0</v>
      </c>
    </row>
    <row r="38" spans="1:14" x14ac:dyDescent="0.25">
      <c r="A38" s="66" t="s">
        <v>87</v>
      </c>
      <c r="B38" s="52">
        <v>20</v>
      </c>
      <c r="C38" s="87" t="str">
        <f t="shared" ref="C38:C56" si="5">IFERROR(IF(SUM($B$115*B38)=0,"",IF(AND($L$94&lt;&gt;$L$98,$L$64=A95),SUM(ROUND($B$115*B38,0),$A$115),ROUND($B$115*B38,0))),0)</f>
        <v/>
      </c>
      <c r="D38" s="273" t="s">
        <v>87</v>
      </c>
      <c r="E38" s="171">
        <v>20</v>
      </c>
      <c r="F38" s="274" t="str">
        <f t="shared" ref="F38:F56" si="6">IFERROR(IF(SUM($E$115*E38)=0,"",IF(AND($L$94&lt;&gt;$L$98,$L$65=D95),SUM(ROUND($E$115*E38,0),$D$115),ROUND($E$115*E38,0))),0)</f>
        <v/>
      </c>
      <c r="G38" s="280" t="s">
        <v>87</v>
      </c>
      <c r="H38" s="170">
        <v>20</v>
      </c>
      <c r="I38" s="209" t="str">
        <f t="shared" ref="I38:I56" si="7">IFERROR(IF(SUM($H$115*H38)=0,"",IF(AND($L$94&lt;&gt;$L$98,$L$66=G95),SUM(ROUND($H$115*H38,0),$G$115),ROUND($H$115*H38,0))),0)</f>
        <v/>
      </c>
      <c r="J38" s="397" t="s">
        <v>80</v>
      </c>
      <c r="K38" s="398"/>
      <c r="L38" s="113">
        <f>L95</f>
        <v>0</v>
      </c>
    </row>
    <row r="39" spans="1:14" x14ac:dyDescent="0.25">
      <c r="A39" s="66" t="s">
        <v>88</v>
      </c>
      <c r="B39" s="52">
        <v>20</v>
      </c>
      <c r="C39" s="87" t="str">
        <f t="shared" si="5"/>
        <v/>
      </c>
      <c r="D39" s="273" t="s">
        <v>88</v>
      </c>
      <c r="E39" s="171">
        <v>20</v>
      </c>
      <c r="F39" s="274" t="str">
        <f t="shared" si="6"/>
        <v/>
      </c>
      <c r="G39" s="280" t="s">
        <v>88</v>
      </c>
      <c r="H39" s="170">
        <v>20</v>
      </c>
      <c r="I39" s="209" t="str">
        <f t="shared" si="7"/>
        <v/>
      </c>
      <c r="J39" s="397" t="s">
        <v>36</v>
      </c>
      <c r="K39" s="398"/>
      <c r="L39" s="112">
        <f>SUM(C33,F33,I33,L33,C57,F57,I57)</f>
        <v>0</v>
      </c>
    </row>
    <row r="40" spans="1:14" x14ac:dyDescent="0.25">
      <c r="A40" s="66" t="s">
        <v>89</v>
      </c>
      <c r="B40" s="52">
        <v>20</v>
      </c>
      <c r="C40" s="87" t="str">
        <f t="shared" si="5"/>
        <v/>
      </c>
      <c r="D40" s="273" t="s">
        <v>89</v>
      </c>
      <c r="E40" s="171">
        <v>20</v>
      </c>
      <c r="F40" s="274" t="str">
        <f t="shared" si="6"/>
        <v/>
      </c>
      <c r="G40" s="280" t="s">
        <v>89</v>
      </c>
      <c r="H40" s="170">
        <v>20</v>
      </c>
      <c r="I40" s="209" t="str">
        <f t="shared" si="7"/>
        <v/>
      </c>
      <c r="J40" s="397" t="s">
        <v>38</v>
      </c>
      <c r="K40" s="398"/>
      <c r="L40" s="112">
        <f>L97</f>
        <v>0</v>
      </c>
    </row>
    <row r="41" spans="1:14" x14ac:dyDescent="0.25">
      <c r="A41" s="66" t="s">
        <v>90</v>
      </c>
      <c r="B41" s="52">
        <v>20</v>
      </c>
      <c r="C41" s="87" t="str">
        <f t="shared" si="5"/>
        <v/>
      </c>
      <c r="D41" s="273" t="s">
        <v>90</v>
      </c>
      <c r="E41" s="171">
        <v>20</v>
      </c>
      <c r="F41" s="274" t="str">
        <f t="shared" si="6"/>
        <v/>
      </c>
      <c r="G41" s="280" t="s">
        <v>90</v>
      </c>
      <c r="H41" s="170">
        <v>20</v>
      </c>
      <c r="I41" s="209" t="str">
        <f t="shared" si="7"/>
        <v/>
      </c>
      <c r="J41" s="397" t="s">
        <v>53</v>
      </c>
      <c r="K41" s="398"/>
      <c r="L41" s="112" t="str">
        <f>L101</f>
        <v>NONE</v>
      </c>
    </row>
    <row r="42" spans="1:14" ht="15.75" thickBot="1" x14ac:dyDescent="0.3">
      <c r="A42" s="67"/>
      <c r="B42" s="52"/>
      <c r="C42" s="87" t="str">
        <f t="shared" si="5"/>
        <v/>
      </c>
      <c r="D42" s="273"/>
      <c r="E42" s="171"/>
      <c r="F42" s="274" t="str">
        <f t="shared" si="6"/>
        <v/>
      </c>
      <c r="G42" s="281"/>
      <c r="H42" s="170"/>
      <c r="I42" s="209" t="str">
        <f t="shared" si="7"/>
        <v/>
      </c>
      <c r="J42" s="436" t="s">
        <v>54</v>
      </c>
      <c r="K42" s="437"/>
      <c r="L42" s="156" t="str">
        <f>IF(L101="NONE","NONE",VLOOKUP(L101,K60:L66,2,FALSE))</f>
        <v>NONE</v>
      </c>
    </row>
    <row r="43" spans="1:14" ht="15.75" thickBot="1" x14ac:dyDescent="0.3">
      <c r="A43" s="67"/>
      <c r="B43" s="52"/>
      <c r="C43" s="87" t="str">
        <f t="shared" si="5"/>
        <v/>
      </c>
      <c r="D43" s="275"/>
      <c r="E43" s="171"/>
      <c r="F43" s="274" t="str">
        <f t="shared" si="6"/>
        <v/>
      </c>
      <c r="G43" s="281"/>
      <c r="H43" s="170"/>
      <c r="I43" s="209" t="str">
        <f t="shared" si="7"/>
        <v/>
      </c>
      <c r="J43" s="399" t="s">
        <v>50</v>
      </c>
      <c r="K43" s="399"/>
      <c r="L43" s="400"/>
      <c r="N43" s="312"/>
    </row>
    <row r="44" spans="1:14" x14ac:dyDescent="0.25">
      <c r="A44" s="67"/>
      <c r="B44" s="52"/>
      <c r="C44" s="87" t="str">
        <f t="shared" si="5"/>
        <v/>
      </c>
      <c r="D44" s="275"/>
      <c r="E44" s="171"/>
      <c r="F44" s="274" t="str">
        <f t="shared" si="6"/>
        <v/>
      </c>
      <c r="G44" s="281"/>
      <c r="H44" s="170"/>
      <c r="I44" s="209" t="str">
        <f t="shared" si="7"/>
        <v/>
      </c>
      <c r="J44" s="163" t="s">
        <v>41</v>
      </c>
      <c r="K44" s="157">
        <v>43829</v>
      </c>
      <c r="L44" s="158">
        <v>43833</v>
      </c>
    </row>
    <row r="45" spans="1:14" x14ac:dyDescent="0.25">
      <c r="A45" s="67"/>
      <c r="B45" s="52"/>
      <c r="C45" s="87" t="str">
        <f t="shared" si="5"/>
        <v/>
      </c>
      <c r="D45" s="275"/>
      <c r="E45" s="171"/>
      <c r="F45" s="274" t="str">
        <f t="shared" si="6"/>
        <v/>
      </c>
      <c r="G45" s="281"/>
      <c r="H45" s="170"/>
      <c r="I45" s="209" t="str">
        <f t="shared" si="7"/>
        <v/>
      </c>
      <c r="J45" s="164" t="s">
        <v>49</v>
      </c>
      <c r="K45" s="159">
        <v>43847</v>
      </c>
      <c r="L45" s="160">
        <v>43852</v>
      </c>
    </row>
    <row r="46" spans="1:14" x14ac:dyDescent="0.25">
      <c r="A46" s="67"/>
      <c r="B46" s="52"/>
      <c r="C46" s="87" t="str">
        <f t="shared" si="5"/>
        <v/>
      </c>
      <c r="D46" s="275"/>
      <c r="E46" s="171"/>
      <c r="F46" s="274" t="str">
        <f t="shared" si="6"/>
        <v/>
      </c>
      <c r="G46" s="281"/>
      <c r="H46" s="170"/>
      <c r="I46" s="209" t="str">
        <f t="shared" si="7"/>
        <v/>
      </c>
      <c r="J46" s="164" t="s">
        <v>42</v>
      </c>
      <c r="K46" s="159">
        <v>43875</v>
      </c>
      <c r="L46" s="160">
        <v>43880</v>
      </c>
    </row>
    <row r="47" spans="1:14" x14ac:dyDescent="0.25">
      <c r="A47" s="67"/>
      <c r="B47" s="52"/>
      <c r="C47" s="87" t="str">
        <f t="shared" si="5"/>
        <v/>
      </c>
      <c r="D47" s="275"/>
      <c r="E47" s="171"/>
      <c r="F47" s="274" t="str">
        <f t="shared" si="6"/>
        <v/>
      </c>
      <c r="G47" s="281"/>
      <c r="H47" s="170"/>
      <c r="I47" s="209" t="str">
        <f t="shared" si="7"/>
        <v/>
      </c>
      <c r="J47" s="164" t="s">
        <v>43</v>
      </c>
      <c r="K47" s="159">
        <v>43973</v>
      </c>
      <c r="L47" s="160">
        <v>43978</v>
      </c>
    </row>
    <row r="48" spans="1:14" x14ac:dyDescent="0.25">
      <c r="A48" s="67"/>
      <c r="B48" s="52"/>
      <c r="C48" s="87" t="str">
        <f t="shared" si="5"/>
        <v/>
      </c>
      <c r="D48" s="275"/>
      <c r="E48" s="171"/>
      <c r="F48" s="274" t="str">
        <f t="shared" si="6"/>
        <v/>
      </c>
      <c r="G48" s="281"/>
      <c r="H48" s="170"/>
      <c r="I48" s="209" t="str">
        <f t="shared" si="7"/>
        <v/>
      </c>
      <c r="J48" s="164" t="s">
        <v>55</v>
      </c>
      <c r="K48" s="159">
        <v>44013</v>
      </c>
      <c r="L48" s="160">
        <v>44018</v>
      </c>
    </row>
    <row r="49" spans="1:12" x14ac:dyDescent="0.25">
      <c r="A49" s="67"/>
      <c r="B49" s="52"/>
      <c r="C49" s="87" t="str">
        <f t="shared" si="5"/>
        <v/>
      </c>
      <c r="D49" s="275"/>
      <c r="E49" s="171"/>
      <c r="F49" s="274" t="str">
        <f t="shared" si="6"/>
        <v/>
      </c>
      <c r="G49" s="281"/>
      <c r="H49" s="170"/>
      <c r="I49" s="209" t="str">
        <f t="shared" si="7"/>
        <v/>
      </c>
      <c r="J49" s="164" t="s">
        <v>44</v>
      </c>
      <c r="K49" s="159">
        <v>44078</v>
      </c>
      <c r="L49" s="160">
        <v>44083</v>
      </c>
    </row>
    <row r="50" spans="1:12" x14ac:dyDescent="0.25">
      <c r="A50" s="67"/>
      <c r="B50" s="52"/>
      <c r="C50" s="87" t="str">
        <f t="shared" si="5"/>
        <v/>
      </c>
      <c r="D50" s="275"/>
      <c r="E50" s="171"/>
      <c r="F50" s="274" t="str">
        <f t="shared" si="6"/>
        <v/>
      </c>
      <c r="G50" s="281"/>
      <c r="H50" s="170"/>
      <c r="I50" s="209" t="str">
        <f t="shared" si="7"/>
        <v/>
      </c>
      <c r="J50" s="164" t="s">
        <v>45</v>
      </c>
      <c r="K50" s="159">
        <v>43749</v>
      </c>
      <c r="L50" s="160">
        <v>43754</v>
      </c>
    </row>
    <row r="51" spans="1:12" x14ac:dyDescent="0.25">
      <c r="A51" s="67"/>
      <c r="B51" s="52"/>
      <c r="C51" s="87" t="str">
        <f t="shared" si="5"/>
        <v/>
      </c>
      <c r="D51" s="275"/>
      <c r="E51" s="171"/>
      <c r="F51" s="274" t="str">
        <f t="shared" si="6"/>
        <v/>
      </c>
      <c r="G51" s="281"/>
      <c r="H51" s="170"/>
      <c r="I51" s="209" t="str">
        <f t="shared" si="7"/>
        <v/>
      </c>
      <c r="J51" s="164" t="s">
        <v>46</v>
      </c>
      <c r="K51" s="159">
        <v>43777</v>
      </c>
      <c r="L51" s="160">
        <v>43782</v>
      </c>
    </row>
    <row r="52" spans="1:12" x14ac:dyDescent="0.25">
      <c r="A52" s="67"/>
      <c r="B52" s="52"/>
      <c r="C52" s="87" t="str">
        <f t="shared" si="5"/>
        <v/>
      </c>
      <c r="D52" s="275"/>
      <c r="E52" s="171"/>
      <c r="F52" s="274" t="str">
        <f t="shared" si="6"/>
        <v/>
      </c>
      <c r="G52" s="281"/>
      <c r="H52" s="170"/>
      <c r="I52" s="209" t="str">
        <f t="shared" si="7"/>
        <v/>
      </c>
      <c r="J52" s="164" t="s">
        <v>47</v>
      </c>
      <c r="K52" s="159">
        <v>43796</v>
      </c>
      <c r="L52" s="160">
        <v>43801</v>
      </c>
    </row>
    <row r="53" spans="1:12" ht="15.75" thickBot="1" x14ac:dyDescent="0.3">
      <c r="A53" s="67"/>
      <c r="B53" s="52"/>
      <c r="C53" s="87" t="str">
        <f t="shared" si="5"/>
        <v/>
      </c>
      <c r="D53" s="275"/>
      <c r="E53" s="171"/>
      <c r="F53" s="274" t="str">
        <f t="shared" si="6"/>
        <v/>
      </c>
      <c r="G53" s="281"/>
      <c r="H53" s="170"/>
      <c r="I53" s="209" t="str">
        <f t="shared" si="7"/>
        <v/>
      </c>
      <c r="J53" s="165" t="s">
        <v>48</v>
      </c>
      <c r="K53" s="161">
        <v>43822</v>
      </c>
      <c r="L53" s="162">
        <v>43826</v>
      </c>
    </row>
    <row r="54" spans="1:12" x14ac:dyDescent="0.25">
      <c r="A54" s="67"/>
      <c r="B54" s="52"/>
      <c r="C54" s="87" t="str">
        <f t="shared" si="5"/>
        <v/>
      </c>
      <c r="D54" s="275"/>
      <c r="E54" s="171"/>
      <c r="F54" s="274" t="str">
        <f t="shared" si="6"/>
        <v/>
      </c>
      <c r="G54" s="281"/>
      <c r="H54" s="170"/>
      <c r="I54" s="209" t="str">
        <f t="shared" si="7"/>
        <v/>
      </c>
      <c r="J54" s="423" t="s">
        <v>51</v>
      </c>
      <c r="K54" s="423"/>
      <c r="L54" s="424"/>
    </row>
    <row r="55" spans="1:12" x14ac:dyDescent="0.25">
      <c r="A55" s="67"/>
      <c r="B55" s="52"/>
      <c r="C55" s="87" t="str">
        <f t="shared" si="5"/>
        <v/>
      </c>
      <c r="D55" s="275"/>
      <c r="E55" s="171"/>
      <c r="F55" s="274" t="str">
        <f t="shared" si="6"/>
        <v/>
      </c>
      <c r="G55" s="281"/>
      <c r="H55" s="170"/>
      <c r="I55" s="209" t="str">
        <f t="shared" si="7"/>
        <v/>
      </c>
      <c r="J55" s="425"/>
      <c r="K55" s="425"/>
      <c r="L55" s="426"/>
    </row>
    <row r="56" spans="1:12" ht="15.75" thickBot="1" x14ac:dyDescent="0.3">
      <c r="A56" s="68"/>
      <c r="B56" s="53"/>
      <c r="C56" s="88" t="str">
        <f t="shared" si="5"/>
        <v/>
      </c>
      <c r="D56" s="276"/>
      <c r="E56" s="277"/>
      <c r="F56" s="278" t="str">
        <f t="shared" si="6"/>
        <v/>
      </c>
      <c r="G56" s="282"/>
      <c r="H56" s="210"/>
      <c r="I56" s="211" t="str">
        <f t="shared" si="7"/>
        <v/>
      </c>
      <c r="J56" s="425"/>
      <c r="K56" s="425"/>
      <c r="L56" s="426"/>
    </row>
    <row r="57" spans="1:12" ht="15.75" thickBot="1" x14ac:dyDescent="0.3">
      <c r="A57" s="58" t="s">
        <v>31</v>
      </c>
      <c r="B57" s="75">
        <f>IF(A35="Unused",0,SUM(B37:B56))</f>
        <v>0</v>
      </c>
      <c r="C57" s="76">
        <f>SUM(C37:C56)</f>
        <v>0</v>
      </c>
      <c r="D57" s="59" t="s">
        <v>31</v>
      </c>
      <c r="E57" s="77">
        <f>IF(D35="Unused",0,SUM(E37:E56))</f>
        <v>0</v>
      </c>
      <c r="F57" s="77">
        <f>SUM(F37:F56)</f>
        <v>0</v>
      </c>
      <c r="G57" s="54" t="s">
        <v>31</v>
      </c>
      <c r="H57" s="78">
        <f>IF(G35="Unused",0,SUM(H37:H56))</f>
        <v>0</v>
      </c>
      <c r="I57" s="79">
        <f>SUM(I37:I56)</f>
        <v>0</v>
      </c>
      <c r="J57" s="427"/>
      <c r="K57" s="428"/>
      <c r="L57" s="429"/>
    </row>
    <row r="58" spans="1:12" x14ac:dyDescent="0.25">
      <c r="C58" s="314"/>
      <c r="F58" s="314"/>
      <c r="I58" s="314"/>
    </row>
    <row r="60" spans="1:12" s="318" customFormat="1" hidden="1" x14ac:dyDescent="0.25">
      <c r="J60" s="318">
        <f>$B$90</f>
        <v>0</v>
      </c>
      <c r="K60" s="318" t="str">
        <f>IF(DevMode!F12="","Unused",DevMode!F12)</f>
        <v>Unused</v>
      </c>
      <c r="L60" s="318" t="str">
        <f>IFERROR(VLOOKUP(MAX(B70:B89),CHOOSE({1,2},B70:B89,A70:A89),2,FALSE), "NONE")</f>
        <v>Example Section 1</v>
      </c>
    </row>
    <row r="61" spans="1:12" s="318" customFormat="1" hidden="1" x14ac:dyDescent="0.25">
      <c r="J61" s="318">
        <f>$E$90</f>
        <v>0</v>
      </c>
      <c r="K61" s="318" t="str">
        <f>IF(DevMode!F13="","Unused",DevMode!F13)</f>
        <v>Unused</v>
      </c>
      <c r="L61" s="318" t="str">
        <f>IFERROR(VLOOKUP(MAX(E70:E89),CHOOSE({1,2},E70:E89,D70:D89),2,FALSE), "NONE")</f>
        <v>Example Section 1</v>
      </c>
    </row>
    <row r="62" spans="1:12" s="318" customFormat="1" hidden="1" x14ac:dyDescent="0.25">
      <c r="J62" s="318">
        <f>$H$90</f>
        <v>0</v>
      </c>
      <c r="K62" s="318" t="str">
        <f>IF(DevMode!F14="","Unused",DevMode!F14)</f>
        <v>Unused</v>
      </c>
      <c r="L62" s="318" t="str">
        <f>IFERROR(VLOOKUP(MAX(H70:H89),CHOOSE({1,2},H70:H89,G70:G89),2,FALSE), "NONE")</f>
        <v>Example Section 1</v>
      </c>
    </row>
    <row r="63" spans="1:12" s="318" customFormat="1" hidden="1" x14ac:dyDescent="0.25">
      <c r="J63" s="318">
        <f>$K$90</f>
        <v>0</v>
      </c>
      <c r="K63" s="318" t="str">
        <f>IF(DevMode!F15="","Unused",DevMode!F15)</f>
        <v>Unused</v>
      </c>
      <c r="L63" s="318" t="str">
        <f>IFERROR(VLOOKUP(MAX(K70:K89),CHOOSE({1,2},K70:K89,J70:J89),2,FALSE), "NONE")</f>
        <v>Example Section 1</v>
      </c>
    </row>
    <row r="64" spans="1:12" s="318" customFormat="1" hidden="1" x14ac:dyDescent="0.25">
      <c r="J64" s="318">
        <f>$B$114</f>
        <v>0</v>
      </c>
      <c r="K64" s="318" t="str">
        <f>IF(DevMode!F16="","Unused",DevMode!F16)</f>
        <v>Unused</v>
      </c>
      <c r="L64" s="318" t="str">
        <f>IFERROR(VLOOKUP(MAX(B94:B113),CHOOSE({1,2},B94:B113,A94:A113),2,FALSE), "NONE")</f>
        <v>Example Section 1</v>
      </c>
    </row>
    <row r="65" spans="1:14" s="318" customFormat="1" hidden="1" x14ac:dyDescent="0.25">
      <c r="J65" s="318">
        <f>$E$114</f>
        <v>0</v>
      </c>
      <c r="K65" s="318" t="str">
        <f>IF(DevMode!F17="","Unused",DevMode!F17)</f>
        <v>Unused</v>
      </c>
      <c r="L65" s="318" t="str">
        <f>IFERROR(VLOOKUP(MAX(E94:E113),CHOOSE({1,2},E94:E113,D94:D113),2,FALSE), "NONE")</f>
        <v>Example Section 1</v>
      </c>
    </row>
    <row r="66" spans="1:14" s="318" customFormat="1" hidden="1" x14ac:dyDescent="0.25">
      <c r="J66" s="318">
        <f>$H$114</f>
        <v>0</v>
      </c>
      <c r="K66" s="318" t="str">
        <f>IF(DevMode!F18="","Unused",DevMode!F18)</f>
        <v>Unused</v>
      </c>
      <c r="L66" s="318" t="str">
        <f>IFERROR(VLOOKUP(MAX(H94:H113),CHOOSE({1,2},H94:H113,G94:G113),2,FALSE), "NONE")</f>
        <v>Example Section 1</v>
      </c>
    </row>
    <row r="67" spans="1:14" s="318" customFormat="1" ht="15.75" hidden="1" thickBot="1" x14ac:dyDescent="0.3"/>
    <row r="68" spans="1:14" s="318" customFormat="1" ht="15.75" hidden="1" thickBot="1" x14ac:dyDescent="0.3">
      <c r="A68" s="411" t="str">
        <f>IF(DevMode!F12="","Unused",DevMode!F12)</f>
        <v>Unused</v>
      </c>
      <c r="B68" s="412"/>
      <c r="C68" s="413"/>
      <c r="D68" s="414" t="str">
        <f>IF(DevMode!F13="","Unused",DevMode!F13)</f>
        <v>Unused</v>
      </c>
      <c r="E68" s="415"/>
      <c r="F68" s="416"/>
      <c r="G68" s="417" t="str">
        <f>IF(DevMode!F14="","Unused",DevMode!F14)</f>
        <v>Unused</v>
      </c>
      <c r="H68" s="418"/>
      <c r="I68" s="419"/>
      <c r="J68" s="420" t="str">
        <f>IF(DevMode!F15="","Unused",DevMode!F15)</f>
        <v>Unused</v>
      </c>
      <c r="K68" s="421"/>
      <c r="L68" s="422"/>
    </row>
    <row r="69" spans="1:14" s="318" customFormat="1" ht="15.75" hidden="1" thickBot="1" x14ac:dyDescent="0.3">
      <c r="A69" s="36" t="s">
        <v>32</v>
      </c>
      <c r="B69" s="36" t="s">
        <v>34</v>
      </c>
      <c r="C69" s="37" t="s">
        <v>33</v>
      </c>
      <c r="D69" s="38" t="s">
        <v>32</v>
      </c>
      <c r="E69" s="38" t="s">
        <v>34</v>
      </c>
      <c r="F69" s="39" t="s">
        <v>33</v>
      </c>
      <c r="G69" s="40" t="s">
        <v>32</v>
      </c>
      <c r="H69" s="40" t="s">
        <v>34</v>
      </c>
      <c r="I69" s="41" t="s">
        <v>33</v>
      </c>
      <c r="J69" s="42" t="s">
        <v>32</v>
      </c>
      <c r="K69" s="42" t="s">
        <v>34</v>
      </c>
      <c r="L69" s="43" t="s">
        <v>33</v>
      </c>
      <c r="N69" s="320"/>
    </row>
    <row r="70" spans="1:14" s="318" customFormat="1" hidden="1" x14ac:dyDescent="0.25">
      <c r="A70" s="126" t="str">
        <f t="shared" ref="A70:B89" si="8">IF(A13=0,"", A13)</f>
        <v>Example Section 1</v>
      </c>
      <c r="B70" s="127">
        <f t="shared" si="8"/>
        <v>20</v>
      </c>
      <c r="C70" s="90" t="str">
        <f>IFERROR(IF(SUM(B91*B70)=0,"",ROUND(B91*B70,0)), "")</f>
        <v/>
      </c>
      <c r="D70" s="128" t="str">
        <f t="shared" ref="D70:E89" si="9">IF(D13=0,"", D13)</f>
        <v>Example Section 1</v>
      </c>
      <c r="E70" s="129">
        <f t="shared" si="9"/>
        <v>20</v>
      </c>
      <c r="F70" s="93" t="str">
        <f t="shared" ref="F70:F89" si="10">IFERROR(IF(SUM($E$91*E70)=0,"",ROUND($E$91*E70,0)), "")</f>
        <v/>
      </c>
      <c r="G70" s="130" t="str">
        <f t="shared" ref="G70:H89" si="11">IF(G13=0,"", G13)</f>
        <v>Example Section 1</v>
      </c>
      <c r="H70" s="114">
        <f t="shared" si="11"/>
        <v>20</v>
      </c>
      <c r="I70" s="96" t="str">
        <f t="shared" ref="I70:I89" si="12">IFERROR(IF(SUM($H$91*H70)=0,"",ROUND($H$91*H70,0)), "")</f>
        <v/>
      </c>
      <c r="J70" s="131" t="str">
        <f t="shared" ref="J70:K89" si="13">IF(J13=0,"", J13)</f>
        <v>Example Section 1</v>
      </c>
      <c r="K70" s="115">
        <f t="shared" si="13"/>
        <v>20</v>
      </c>
      <c r="L70" s="99" t="str">
        <f t="shared" ref="L70:L89" si="14">IFERROR(IF(SUM($K$91*K70)=0,"",ROUND($K$91*K70,0)), "")</f>
        <v/>
      </c>
    </row>
    <row r="71" spans="1:14" s="318" customFormat="1" hidden="1" x14ac:dyDescent="0.25">
      <c r="A71" s="132" t="str">
        <f t="shared" si="8"/>
        <v>Example Section 2</v>
      </c>
      <c r="B71" s="133">
        <f t="shared" si="8"/>
        <v>20</v>
      </c>
      <c r="C71" s="91" t="str">
        <f t="shared" ref="C71:C89" si="15">IFERROR(IF(SUM($B$91*B71)=0,"",ROUND($B$91*B71,0)), "")</f>
        <v/>
      </c>
      <c r="D71" s="134" t="str">
        <f t="shared" si="9"/>
        <v>Example Section 2</v>
      </c>
      <c r="E71" s="135">
        <f t="shared" si="9"/>
        <v>20</v>
      </c>
      <c r="F71" s="94" t="str">
        <f t="shared" si="10"/>
        <v/>
      </c>
      <c r="G71" s="136" t="str">
        <f t="shared" si="11"/>
        <v>Example Section 2</v>
      </c>
      <c r="H71" s="116">
        <f t="shared" si="11"/>
        <v>20</v>
      </c>
      <c r="I71" s="97" t="str">
        <f t="shared" si="12"/>
        <v/>
      </c>
      <c r="J71" s="137" t="str">
        <f t="shared" si="13"/>
        <v>Example Section 2</v>
      </c>
      <c r="K71" s="117">
        <f t="shared" si="13"/>
        <v>20</v>
      </c>
      <c r="L71" s="100" t="str">
        <f t="shared" si="14"/>
        <v/>
      </c>
    </row>
    <row r="72" spans="1:14" s="318" customFormat="1" hidden="1" x14ac:dyDescent="0.25">
      <c r="A72" s="132" t="str">
        <f t="shared" si="8"/>
        <v>Example Section 3</v>
      </c>
      <c r="B72" s="133">
        <f t="shared" si="8"/>
        <v>20</v>
      </c>
      <c r="C72" s="91" t="str">
        <f t="shared" si="15"/>
        <v/>
      </c>
      <c r="D72" s="134" t="str">
        <f t="shared" si="9"/>
        <v>Example Section 3</v>
      </c>
      <c r="E72" s="135">
        <f t="shared" si="9"/>
        <v>20</v>
      </c>
      <c r="F72" s="94" t="str">
        <f t="shared" si="10"/>
        <v/>
      </c>
      <c r="G72" s="136" t="str">
        <f t="shared" si="11"/>
        <v>Example Section 3</v>
      </c>
      <c r="H72" s="116">
        <f t="shared" si="11"/>
        <v>20</v>
      </c>
      <c r="I72" s="97" t="str">
        <f t="shared" si="12"/>
        <v/>
      </c>
      <c r="J72" s="137" t="str">
        <f t="shared" si="13"/>
        <v>Example Section 3</v>
      </c>
      <c r="K72" s="117">
        <f t="shared" si="13"/>
        <v>20</v>
      </c>
      <c r="L72" s="100" t="str">
        <f t="shared" si="14"/>
        <v/>
      </c>
    </row>
    <row r="73" spans="1:14" s="318" customFormat="1" hidden="1" x14ac:dyDescent="0.25">
      <c r="A73" s="132" t="str">
        <f t="shared" si="8"/>
        <v>Example Section 4</v>
      </c>
      <c r="B73" s="133">
        <f t="shared" si="8"/>
        <v>20</v>
      </c>
      <c r="C73" s="91" t="str">
        <f t="shared" si="15"/>
        <v/>
      </c>
      <c r="D73" s="134" t="str">
        <f t="shared" si="9"/>
        <v>Example Section 4</v>
      </c>
      <c r="E73" s="135">
        <f t="shared" si="9"/>
        <v>20</v>
      </c>
      <c r="F73" s="94" t="str">
        <f t="shared" si="10"/>
        <v/>
      </c>
      <c r="G73" s="136" t="str">
        <f t="shared" si="11"/>
        <v>Example Section 4</v>
      </c>
      <c r="H73" s="116">
        <f t="shared" si="11"/>
        <v>20</v>
      </c>
      <c r="I73" s="97" t="str">
        <f t="shared" si="12"/>
        <v/>
      </c>
      <c r="J73" s="137" t="str">
        <f t="shared" si="13"/>
        <v>Example Section 4</v>
      </c>
      <c r="K73" s="117">
        <f t="shared" si="13"/>
        <v>20</v>
      </c>
      <c r="L73" s="100" t="str">
        <f t="shared" si="14"/>
        <v/>
      </c>
    </row>
    <row r="74" spans="1:14" s="318" customFormat="1" hidden="1" x14ac:dyDescent="0.25">
      <c r="A74" s="132" t="str">
        <f t="shared" si="8"/>
        <v>Example Section 5</v>
      </c>
      <c r="B74" s="133">
        <f t="shared" si="8"/>
        <v>20</v>
      </c>
      <c r="C74" s="91" t="str">
        <f t="shared" si="15"/>
        <v/>
      </c>
      <c r="D74" s="134" t="str">
        <f t="shared" si="9"/>
        <v>Example Section 5</v>
      </c>
      <c r="E74" s="135">
        <f t="shared" si="9"/>
        <v>20</v>
      </c>
      <c r="F74" s="94" t="str">
        <f t="shared" si="10"/>
        <v/>
      </c>
      <c r="G74" s="136" t="str">
        <f t="shared" si="11"/>
        <v>Example Section 5</v>
      </c>
      <c r="H74" s="116">
        <f t="shared" si="11"/>
        <v>20</v>
      </c>
      <c r="I74" s="97" t="str">
        <f t="shared" si="12"/>
        <v/>
      </c>
      <c r="J74" s="137" t="str">
        <f t="shared" si="13"/>
        <v>Example Section 5</v>
      </c>
      <c r="K74" s="117">
        <f t="shared" si="13"/>
        <v>20</v>
      </c>
      <c r="L74" s="100" t="str">
        <f t="shared" si="14"/>
        <v/>
      </c>
    </row>
    <row r="75" spans="1:14" s="318" customFormat="1" hidden="1" x14ac:dyDescent="0.25">
      <c r="A75" s="132" t="str">
        <f t="shared" si="8"/>
        <v/>
      </c>
      <c r="B75" s="133" t="str">
        <f t="shared" si="8"/>
        <v/>
      </c>
      <c r="C75" s="91" t="str">
        <f t="shared" si="15"/>
        <v/>
      </c>
      <c r="D75" s="134" t="str">
        <f t="shared" si="9"/>
        <v/>
      </c>
      <c r="E75" s="135" t="str">
        <f t="shared" si="9"/>
        <v/>
      </c>
      <c r="F75" s="94" t="str">
        <f t="shared" si="10"/>
        <v/>
      </c>
      <c r="G75" s="136" t="str">
        <f t="shared" si="11"/>
        <v/>
      </c>
      <c r="H75" s="116" t="str">
        <f t="shared" si="11"/>
        <v/>
      </c>
      <c r="I75" s="97" t="str">
        <f t="shared" si="12"/>
        <v/>
      </c>
      <c r="J75" s="137" t="str">
        <f t="shared" si="13"/>
        <v/>
      </c>
      <c r="K75" s="117" t="str">
        <f t="shared" si="13"/>
        <v/>
      </c>
      <c r="L75" s="100" t="str">
        <f t="shared" si="14"/>
        <v/>
      </c>
    </row>
    <row r="76" spans="1:14" s="318" customFormat="1" hidden="1" x14ac:dyDescent="0.25">
      <c r="A76" s="132" t="str">
        <f t="shared" si="8"/>
        <v/>
      </c>
      <c r="B76" s="133" t="str">
        <f t="shared" si="8"/>
        <v/>
      </c>
      <c r="C76" s="91" t="str">
        <f t="shared" si="15"/>
        <v/>
      </c>
      <c r="D76" s="134" t="str">
        <f t="shared" si="9"/>
        <v/>
      </c>
      <c r="E76" s="135" t="str">
        <f t="shared" si="9"/>
        <v/>
      </c>
      <c r="F76" s="94" t="str">
        <f t="shared" si="10"/>
        <v/>
      </c>
      <c r="G76" s="136" t="str">
        <f t="shared" si="11"/>
        <v/>
      </c>
      <c r="H76" s="116" t="str">
        <f t="shared" si="11"/>
        <v/>
      </c>
      <c r="I76" s="97" t="str">
        <f t="shared" si="12"/>
        <v/>
      </c>
      <c r="J76" s="137" t="str">
        <f t="shared" si="13"/>
        <v/>
      </c>
      <c r="K76" s="117" t="str">
        <f t="shared" si="13"/>
        <v/>
      </c>
      <c r="L76" s="100" t="str">
        <f t="shared" si="14"/>
        <v/>
      </c>
    </row>
    <row r="77" spans="1:14" s="318" customFormat="1" hidden="1" x14ac:dyDescent="0.25">
      <c r="A77" s="132" t="str">
        <f t="shared" si="8"/>
        <v/>
      </c>
      <c r="B77" s="133" t="str">
        <f t="shared" si="8"/>
        <v/>
      </c>
      <c r="C77" s="91" t="str">
        <f t="shared" si="15"/>
        <v/>
      </c>
      <c r="D77" s="134" t="str">
        <f t="shared" si="9"/>
        <v/>
      </c>
      <c r="E77" s="135" t="str">
        <f t="shared" si="9"/>
        <v/>
      </c>
      <c r="F77" s="94" t="str">
        <f t="shared" si="10"/>
        <v/>
      </c>
      <c r="G77" s="136" t="str">
        <f t="shared" si="11"/>
        <v/>
      </c>
      <c r="H77" s="116" t="str">
        <f t="shared" si="11"/>
        <v/>
      </c>
      <c r="I77" s="97" t="str">
        <f t="shared" si="12"/>
        <v/>
      </c>
      <c r="J77" s="137" t="str">
        <f t="shared" si="13"/>
        <v/>
      </c>
      <c r="K77" s="117" t="str">
        <f t="shared" si="13"/>
        <v/>
      </c>
      <c r="L77" s="100" t="str">
        <f t="shared" si="14"/>
        <v/>
      </c>
    </row>
    <row r="78" spans="1:14" s="318" customFormat="1" hidden="1" x14ac:dyDescent="0.25">
      <c r="A78" s="132" t="str">
        <f t="shared" si="8"/>
        <v/>
      </c>
      <c r="B78" s="133" t="str">
        <f t="shared" si="8"/>
        <v/>
      </c>
      <c r="C78" s="91" t="str">
        <f t="shared" si="15"/>
        <v/>
      </c>
      <c r="D78" s="134" t="str">
        <f t="shared" si="9"/>
        <v/>
      </c>
      <c r="E78" s="135" t="str">
        <f t="shared" si="9"/>
        <v/>
      </c>
      <c r="F78" s="94" t="str">
        <f t="shared" si="10"/>
        <v/>
      </c>
      <c r="G78" s="136" t="str">
        <f t="shared" si="11"/>
        <v/>
      </c>
      <c r="H78" s="116" t="str">
        <f t="shared" si="11"/>
        <v/>
      </c>
      <c r="I78" s="97" t="str">
        <f t="shared" si="12"/>
        <v/>
      </c>
      <c r="J78" s="137" t="str">
        <f t="shared" si="13"/>
        <v/>
      </c>
      <c r="K78" s="117" t="str">
        <f t="shared" si="13"/>
        <v/>
      </c>
      <c r="L78" s="100" t="str">
        <f t="shared" si="14"/>
        <v/>
      </c>
    </row>
    <row r="79" spans="1:14" s="318" customFormat="1" hidden="1" x14ac:dyDescent="0.25">
      <c r="A79" s="132" t="str">
        <f t="shared" si="8"/>
        <v/>
      </c>
      <c r="B79" s="133" t="str">
        <f t="shared" si="8"/>
        <v/>
      </c>
      <c r="C79" s="91" t="str">
        <f t="shared" si="15"/>
        <v/>
      </c>
      <c r="D79" s="134" t="str">
        <f t="shared" si="9"/>
        <v/>
      </c>
      <c r="E79" s="135" t="str">
        <f t="shared" si="9"/>
        <v/>
      </c>
      <c r="F79" s="94" t="str">
        <f t="shared" si="10"/>
        <v/>
      </c>
      <c r="G79" s="136" t="str">
        <f t="shared" si="11"/>
        <v/>
      </c>
      <c r="H79" s="116" t="str">
        <f t="shared" si="11"/>
        <v/>
      </c>
      <c r="I79" s="97" t="str">
        <f t="shared" si="12"/>
        <v/>
      </c>
      <c r="J79" s="137" t="str">
        <f t="shared" si="13"/>
        <v/>
      </c>
      <c r="K79" s="117" t="str">
        <f t="shared" si="13"/>
        <v/>
      </c>
      <c r="L79" s="100" t="str">
        <f t="shared" si="14"/>
        <v/>
      </c>
    </row>
    <row r="80" spans="1:14" s="318" customFormat="1" hidden="1" x14ac:dyDescent="0.25">
      <c r="A80" s="132" t="str">
        <f t="shared" si="8"/>
        <v/>
      </c>
      <c r="B80" s="133" t="str">
        <f t="shared" si="8"/>
        <v/>
      </c>
      <c r="C80" s="91" t="str">
        <f t="shared" si="15"/>
        <v/>
      </c>
      <c r="D80" s="134" t="str">
        <f t="shared" si="9"/>
        <v/>
      </c>
      <c r="E80" s="135" t="str">
        <f t="shared" si="9"/>
        <v/>
      </c>
      <c r="F80" s="94" t="str">
        <f t="shared" si="10"/>
        <v/>
      </c>
      <c r="G80" s="136" t="str">
        <f t="shared" si="11"/>
        <v/>
      </c>
      <c r="H80" s="116" t="str">
        <f t="shared" si="11"/>
        <v/>
      </c>
      <c r="I80" s="97" t="str">
        <f t="shared" si="12"/>
        <v/>
      </c>
      <c r="J80" s="137" t="str">
        <f t="shared" si="13"/>
        <v/>
      </c>
      <c r="K80" s="117" t="str">
        <f t="shared" si="13"/>
        <v/>
      </c>
      <c r="L80" s="100" t="str">
        <f t="shared" si="14"/>
        <v/>
      </c>
    </row>
    <row r="81" spans="1:12" s="318" customFormat="1" hidden="1" x14ac:dyDescent="0.25">
      <c r="A81" s="132" t="str">
        <f t="shared" si="8"/>
        <v/>
      </c>
      <c r="B81" s="133" t="str">
        <f t="shared" si="8"/>
        <v/>
      </c>
      <c r="C81" s="91" t="str">
        <f t="shared" si="15"/>
        <v/>
      </c>
      <c r="D81" s="134" t="str">
        <f t="shared" si="9"/>
        <v/>
      </c>
      <c r="E81" s="135" t="str">
        <f t="shared" si="9"/>
        <v/>
      </c>
      <c r="F81" s="94" t="str">
        <f t="shared" si="10"/>
        <v/>
      </c>
      <c r="G81" s="136" t="str">
        <f t="shared" si="11"/>
        <v/>
      </c>
      <c r="H81" s="116" t="str">
        <f t="shared" si="11"/>
        <v/>
      </c>
      <c r="I81" s="97" t="str">
        <f t="shared" si="12"/>
        <v/>
      </c>
      <c r="J81" s="137" t="str">
        <f t="shared" si="13"/>
        <v/>
      </c>
      <c r="K81" s="117" t="str">
        <f t="shared" si="13"/>
        <v/>
      </c>
      <c r="L81" s="100" t="str">
        <f t="shared" si="14"/>
        <v/>
      </c>
    </row>
    <row r="82" spans="1:12" s="318" customFormat="1" hidden="1" x14ac:dyDescent="0.25">
      <c r="A82" s="132" t="str">
        <f t="shared" si="8"/>
        <v/>
      </c>
      <c r="B82" s="133" t="str">
        <f t="shared" si="8"/>
        <v/>
      </c>
      <c r="C82" s="91" t="str">
        <f t="shared" si="15"/>
        <v/>
      </c>
      <c r="D82" s="134" t="str">
        <f t="shared" si="9"/>
        <v/>
      </c>
      <c r="E82" s="135" t="str">
        <f t="shared" si="9"/>
        <v/>
      </c>
      <c r="F82" s="94" t="str">
        <f t="shared" si="10"/>
        <v/>
      </c>
      <c r="G82" s="136" t="str">
        <f t="shared" si="11"/>
        <v/>
      </c>
      <c r="H82" s="116" t="str">
        <f t="shared" si="11"/>
        <v/>
      </c>
      <c r="I82" s="97" t="str">
        <f t="shared" si="12"/>
        <v/>
      </c>
      <c r="J82" s="137" t="str">
        <f t="shared" si="13"/>
        <v/>
      </c>
      <c r="K82" s="117" t="str">
        <f t="shared" si="13"/>
        <v/>
      </c>
      <c r="L82" s="100" t="str">
        <f t="shared" si="14"/>
        <v/>
      </c>
    </row>
    <row r="83" spans="1:12" s="318" customFormat="1" hidden="1" x14ac:dyDescent="0.25">
      <c r="A83" s="132" t="str">
        <f t="shared" si="8"/>
        <v/>
      </c>
      <c r="B83" s="133" t="str">
        <f t="shared" si="8"/>
        <v/>
      </c>
      <c r="C83" s="91" t="str">
        <f t="shared" si="15"/>
        <v/>
      </c>
      <c r="D83" s="134" t="str">
        <f t="shared" si="9"/>
        <v/>
      </c>
      <c r="E83" s="135" t="str">
        <f t="shared" si="9"/>
        <v/>
      </c>
      <c r="F83" s="94" t="str">
        <f t="shared" si="10"/>
        <v/>
      </c>
      <c r="G83" s="136" t="str">
        <f t="shared" si="11"/>
        <v/>
      </c>
      <c r="H83" s="116" t="str">
        <f t="shared" si="11"/>
        <v/>
      </c>
      <c r="I83" s="97" t="str">
        <f t="shared" si="12"/>
        <v/>
      </c>
      <c r="J83" s="137" t="str">
        <f t="shared" si="13"/>
        <v/>
      </c>
      <c r="K83" s="117" t="str">
        <f t="shared" si="13"/>
        <v/>
      </c>
      <c r="L83" s="100" t="str">
        <f t="shared" si="14"/>
        <v/>
      </c>
    </row>
    <row r="84" spans="1:12" s="318" customFormat="1" hidden="1" x14ac:dyDescent="0.25">
      <c r="A84" s="132" t="str">
        <f t="shared" si="8"/>
        <v/>
      </c>
      <c r="B84" s="133" t="str">
        <f t="shared" si="8"/>
        <v/>
      </c>
      <c r="C84" s="91" t="str">
        <f t="shared" si="15"/>
        <v/>
      </c>
      <c r="D84" s="134" t="str">
        <f t="shared" si="9"/>
        <v/>
      </c>
      <c r="E84" s="135" t="str">
        <f t="shared" si="9"/>
        <v/>
      </c>
      <c r="F84" s="94" t="str">
        <f t="shared" si="10"/>
        <v/>
      </c>
      <c r="G84" s="136" t="str">
        <f t="shared" si="11"/>
        <v/>
      </c>
      <c r="H84" s="116" t="str">
        <f t="shared" si="11"/>
        <v/>
      </c>
      <c r="I84" s="97" t="str">
        <f t="shared" si="12"/>
        <v/>
      </c>
      <c r="J84" s="137" t="str">
        <f t="shared" si="13"/>
        <v/>
      </c>
      <c r="K84" s="117" t="str">
        <f t="shared" si="13"/>
        <v/>
      </c>
      <c r="L84" s="100" t="str">
        <f t="shared" si="14"/>
        <v/>
      </c>
    </row>
    <row r="85" spans="1:12" s="318" customFormat="1" hidden="1" x14ac:dyDescent="0.25">
      <c r="A85" s="132" t="str">
        <f t="shared" si="8"/>
        <v/>
      </c>
      <c r="B85" s="133" t="str">
        <f t="shared" si="8"/>
        <v/>
      </c>
      <c r="C85" s="91" t="str">
        <f t="shared" si="15"/>
        <v/>
      </c>
      <c r="D85" s="134" t="str">
        <f t="shared" si="9"/>
        <v/>
      </c>
      <c r="E85" s="135" t="str">
        <f t="shared" si="9"/>
        <v/>
      </c>
      <c r="F85" s="94" t="str">
        <f t="shared" si="10"/>
        <v/>
      </c>
      <c r="G85" s="136" t="str">
        <f t="shared" si="11"/>
        <v/>
      </c>
      <c r="H85" s="116" t="str">
        <f t="shared" si="11"/>
        <v/>
      </c>
      <c r="I85" s="97" t="str">
        <f t="shared" si="12"/>
        <v/>
      </c>
      <c r="J85" s="137" t="str">
        <f t="shared" si="13"/>
        <v/>
      </c>
      <c r="K85" s="117" t="str">
        <f t="shared" si="13"/>
        <v/>
      </c>
      <c r="L85" s="100" t="str">
        <f t="shared" si="14"/>
        <v/>
      </c>
    </row>
    <row r="86" spans="1:12" s="318" customFormat="1" hidden="1" x14ac:dyDescent="0.25">
      <c r="A86" s="132" t="str">
        <f t="shared" si="8"/>
        <v/>
      </c>
      <c r="B86" s="133" t="str">
        <f t="shared" si="8"/>
        <v/>
      </c>
      <c r="C86" s="91" t="str">
        <f t="shared" si="15"/>
        <v/>
      </c>
      <c r="D86" s="134" t="str">
        <f t="shared" si="9"/>
        <v/>
      </c>
      <c r="E86" s="135" t="str">
        <f t="shared" si="9"/>
        <v/>
      </c>
      <c r="F86" s="94" t="str">
        <f t="shared" si="10"/>
        <v/>
      </c>
      <c r="G86" s="136" t="str">
        <f t="shared" si="11"/>
        <v/>
      </c>
      <c r="H86" s="116" t="str">
        <f t="shared" si="11"/>
        <v/>
      </c>
      <c r="I86" s="97" t="str">
        <f t="shared" si="12"/>
        <v/>
      </c>
      <c r="J86" s="137" t="str">
        <f t="shared" si="13"/>
        <v/>
      </c>
      <c r="K86" s="117" t="str">
        <f t="shared" si="13"/>
        <v/>
      </c>
      <c r="L86" s="100" t="str">
        <f t="shared" si="14"/>
        <v/>
      </c>
    </row>
    <row r="87" spans="1:12" s="318" customFormat="1" hidden="1" x14ac:dyDescent="0.25">
      <c r="A87" s="132" t="str">
        <f t="shared" si="8"/>
        <v/>
      </c>
      <c r="B87" s="133" t="str">
        <f t="shared" si="8"/>
        <v/>
      </c>
      <c r="C87" s="91" t="str">
        <f t="shared" si="15"/>
        <v/>
      </c>
      <c r="D87" s="134" t="str">
        <f t="shared" si="9"/>
        <v/>
      </c>
      <c r="E87" s="135" t="str">
        <f t="shared" si="9"/>
        <v/>
      </c>
      <c r="F87" s="94" t="str">
        <f t="shared" si="10"/>
        <v/>
      </c>
      <c r="G87" s="136" t="str">
        <f t="shared" si="11"/>
        <v/>
      </c>
      <c r="H87" s="116" t="str">
        <f t="shared" si="11"/>
        <v/>
      </c>
      <c r="I87" s="97" t="str">
        <f t="shared" si="12"/>
        <v/>
      </c>
      <c r="J87" s="137" t="str">
        <f t="shared" si="13"/>
        <v/>
      </c>
      <c r="K87" s="117" t="str">
        <f t="shared" si="13"/>
        <v/>
      </c>
      <c r="L87" s="100" t="str">
        <f t="shared" si="14"/>
        <v/>
      </c>
    </row>
    <row r="88" spans="1:12" s="318" customFormat="1" hidden="1" x14ac:dyDescent="0.25">
      <c r="A88" s="132" t="str">
        <f t="shared" si="8"/>
        <v/>
      </c>
      <c r="B88" s="133" t="str">
        <f t="shared" si="8"/>
        <v/>
      </c>
      <c r="C88" s="91" t="str">
        <f t="shared" si="15"/>
        <v/>
      </c>
      <c r="D88" s="134" t="str">
        <f t="shared" si="9"/>
        <v/>
      </c>
      <c r="E88" s="135" t="str">
        <f t="shared" si="9"/>
        <v/>
      </c>
      <c r="F88" s="94" t="str">
        <f t="shared" si="10"/>
        <v/>
      </c>
      <c r="G88" s="136" t="str">
        <f t="shared" si="11"/>
        <v/>
      </c>
      <c r="H88" s="116" t="str">
        <f t="shared" si="11"/>
        <v/>
      </c>
      <c r="I88" s="97" t="str">
        <f t="shared" si="12"/>
        <v/>
      </c>
      <c r="J88" s="137" t="str">
        <f t="shared" si="13"/>
        <v/>
      </c>
      <c r="K88" s="117" t="str">
        <f t="shared" si="13"/>
        <v/>
      </c>
      <c r="L88" s="100" t="str">
        <f t="shared" si="14"/>
        <v/>
      </c>
    </row>
    <row r="89" spans="1:12" s="318" customFormat="1" ht="15.75" hidden="1" thickBot="1" x14ac:dyDescent="0.3">
      <c r="A89" s="138" t="str">
        <f t="shared" si="8"/>
        <v/>
      </c>
      <c r="B89" s="139" t="str">
        <f t="shared" si="8"/>
        <v/>
      </c>
      <c r="C89" s="92" t="str">
        <f t="shared" si="15"/>
        <v/>
      </c>
      <c r="D89" s="140" t="str">
        <f t="shared" si="9"/>
        <v/>
      </c>
      <c r="E89" s="141" t="str">
        <f t="shared" si="9"/>
        <v/>
      </c>
      <c r="F89" s="95" t="str">
        <f t="shared" si="10"/>
        <v/>
      </c>
      <c r="G89" s="142" t="str">
        <f t="shared" si="11"/>
        <v/>
      </c>
      <c r="H89" s="118" t="str">
        <f t="shared" si="11"/>
        <v/>
      </c>
      <c r="I89" s="98" t="str">
        <f t="shared" si="12"/>
        <v/>
      </c>
      <c r="J89" s="143" t="str">
        <f t="shared" si="13"/>
        <v/>
      </c>
      <c r="K89" s="119" t="str">
        <f t="shared" si="13"/>
        <v/>
      </c>
      <c r="L89" s="101" t="str">
        <f t="shared" si="14"/>
        <v/>
      </c>
    </row>
    <row r="90" spans="1:12" s="318" customFormat="1" ht="15.75" hidden="1" thickBot="1" x14ac:dyDescent="0.3">
      <c r="A90" s="60" t="s">
        <v>31</v>
      </c>
      <c r="B90" s="70">
        <f>IF(A68="Unused",0,SUM(B70:B89))</f>
        <v>0</v>
      </c>
      <c r="C90" s="71">
        <f>SUM(C70:C89)</f>
        <v>0</v>
      </c>
      <c r="D90" s="61" t="s">
        <v>31</v>
      </c>
      <c r="E90" s="72">
        <f>IF(D68="Unused",0,SUM(E70:E89))</f>
        <v>0</v>
      </c>
      <c r="F90" s="72">
        <f>SUM(F70:F89)</f>
        <v>0</v>
      </c>
      <c r="G90" s="62" t="s">
        <v>31</v>
      </c>
      <c r="H90" s="73">
        <f>IF(G68="Unused",0,SUM(H70:H89))</f>
        <v>0</v>
      </c>
      <c r="I90" s="73">
        <f>SUM(I70:I89)</f>
        <v>0</v>
      </c>
      <c r="J90" s="63" t="s">
        <v>31</v>
      </c>
      <c r="K90" s="74">
        <f>IF(J68="Unused",0,SUM(K70:K89))</f>
        <v>0</v>
      </c>
      <c r="L90" s="74">
        <f>SUM(L70:L89)</f>
        <v>0</v>
      </c>
    </row>
    <row r="91" spans="1:12" s="318" customFormat="1" ht="15.75" hidden="1" thickBot="1" x14ac:dyDescent="0.3">
      <c r="A91" s="316">
        <f>SUM(C91-C90)</f>
        <v>0</v>
      </c>
      <c r="B91" s="317">
        <f>IFERROR(SUM(C91/COUNTA(B70:B89))/SUM(B90/COUNTA(B70:B89)),0)</f>
        <v>0</v>
      </c>
      <c r="C91" s="316"/>
      <c r="D91" s="316">
        <f>SUM(F91-F90)</f>
        <v>0</v>
      </c>
      <c r="E91" s="317">
        <f>IFERROR(SUM(F91/COUNTA(E70:E89))/SUM(E90/COUNTA(E70:E89)),0)</f>
        <v>0</v>
      </c>
      <c r="F91" s="316"/>
      <c r="G91" s="316">
        <f>SUM(I91-I90)</f>
        <v>0</v>
      </c>
      <c r="H91" s="317">
        <f>IFERROR(SUM(I91/COUNTA(H70:H89))/SUM(H90/COUNTA(H70:H89)),0)</f>
        <v>0</v>
      </c>
      <c r="I91" s="316"/>
      <c r="J91" s="316">
        <f>SUM(L91-L90)</f>
        <v>0</v>
      </c>
      <c r="K91" s="317">
        <f>IFERROR(SUM(L91/COUNTA(K70:K89))/SUM(K90/COUNTA(K70:K89)),0)</f>
        <v>0</v>
      </c>
      <c r="L91" s="316"/>
    </row>
    <row r="92" spans="1:12" s="318" customFormat="1" ht="15.75" hidden="1" thickBot="1" x14ac:dyDescent="0.3">
      <c r="A92" s="401" t="str">
        <f>IF(DevMode!F16="","Unused",DevMode!F16)</f>
        <v>Unused</v>
      </c>
      <c r="B92" s="402"/>
      <c r="C92" s="403"/>
      <c r="D92" s="404" t="str">
        <f>IF(DevMode!F17="","Unused",DevMode!F17)</f>
        <v>Unused</v>
      </c>
      <c r="E92" s="404"/>
      <c r="F92" s="405"/>
      <c r="G92" s="406" t="str">
        <f>IF(DevMode!F18="","Unused",DevMode!F18)</f>
        <v>Unused</v>
      </c>
      <c r="H92" s="407"/>
      <c r="I92" s="407"/>
      <c r="J92" s="408" t="s">
        <v>39</v>
      </c>
      <c r="K92" s="409"/>
      <c r="L92" s="410"/>
    </row>
    <row r="93" spans="1:12" s="318" customFormat="1" ht="15.75" hidden="1" thickBot="1" x14ac:dyDescent="0.3">
      <c r="A93" s="55" t="s">
        <v>32</v>
      </c>
      <c r="B93" s="56" t="s">
        <v>34</v>
      </c>
      <c r="C93" s="57" t="s">
        <v>33</v>
      </c>
      <c r="D93" s="44" t="s">
        <v>32</v>
      </c>
      <c r="E93" s="45" t="s">
        <v>34</v>
      </c>
      <c r="F93" s="46" t="s">
        <v>33</v>
      </c>
      <c r="G93" s="47" t="s">
        <v>32</v>
      </c>
      <c r="H93" s="47" t="s">
        <v>34</v>
      </c>
      <c r="I93" s="48" t="s">
        <v>33</v>
      </c>
      <c r="J93" s="395" t="s">
        <v>37</v>
      </c>
      <c r="K93" s="396"/>
      <c r="L93" s="49">
        <f>SUM(B90,E90,H90,K90,B114,E114,H114)</f>
        <v>0</v>
      </c>
    </row>
    <row r="94" spans="1:12" s="318" customFormat="1" hidden="1" x14ac:dyDescent="0.25">
      <c r="A94" s="144" t="str">
        <f t="shared" ref="A94:B113" si="16">IF(A37=0,"", A37)</f>
        <v>Example Section 1</v>
      </c>
      <c r="B94" s="145">
        <f t="shared" si="16"/>
        <v>20</v>
      </c>
      <c r="C94" s="84" t="str">
        <f t="shared" ref="C94:C113" si="17">IFERROR(IF(SUM($B$115*B94)=0,"",ROUND($B$115*B94,0)), "")</f>
        <v/>
      </c>
      <c r="D94" s="146" t="str">
        <f t="shared" ref="D94:E113" si="18">IF(D37=0,"", D37)</f>
        <v>Example Section 1</v>
      </c>
      <c r="E94" s="120">
        <f t="shared" si="18"/>
        <v>20</v>
      </c>
      <c r="F94" s="102" t="str">
        <f t="shared" ref="F94:F113" si="19">IFERROR(IF(SUM($E$115*E94)=0,"",ROUND($E$115*E94,0)), "")</f>
        <v/>
      </c>
      <c r="G94" s="147" t="str">
        <f t="shared" ref="G94:H113" si="20">IF(G37=0,"", G37)</f>
        <v>Example Section 1</v>
      </c>
      <c r="H94" s="121">
        <f t="shared" si="20"/>
        <v>20</v>
      </c>
      <c r="I94" s="105" t="str">
        <f t="shared" ref="I94:I113" si="21">IFERROR(IF(SUM($H$115*H94)=0,"",ROUND($H$115*H94,0)), "")</f>
        <v/>
      </c>
      <c r="J94" s="397" t="s">
        <v>35</v>
      </c>
      <c r="K94" s="398"/>
      <c r="L94" s="50">
        <f>IFERROR(DAY(End)*COUNTA(DevMode!B3:C15),0)</f>
        <v>0</v>
      </c>
    </row>
    <row r="95" spans="1:12" s="318" customFormat="1" hidden="1" x14ac:dyDescent="0.25">
      <c r="A95" s="148" t="str">
        <f t="shared" si="16"/>
        <v>Example Section 2</v>
      </c>
      <c r="B95" s="149">
        <f t="shared" si="16"/>
        <v>20</v>
      </c>
      <c r="C95" s="85" t="str">
        <f t="shared" si="17"/>
        <v/>
      </c>
      <c r="D95" s="150" t="str">
        <f t="shared" si="18"/>
        <v>Example Section 2</v>
      </c>
      <c r="E95" s="122">
        <f t="shared" si="18"/>
        <v>20</v>
      </c>
      <c r="F95" s="103" t="str">
        <f t="shared" si="19"/>
        <v/>
      </c>
      <c r="G95" s="151" t="str">
        <f t="shared" si="20"/>
        <v>Example Section 2</v>
      </c>
      <c r="H95" s="123">
        <f t="shared" si="20"/>
        <v>20</v>
      </c>
      <c r="I95" s="106" t="str">
        <f t="shared" si="21"/>
        <v/>
      </c>
      <c r="J95" s="397" t="s">
        <v>80</v>
      </c>
      <c r="K95" s="398"/>
      <c r="L95" s="51">
        <f>IFERROR(SUM(B91,E91,H91,K91,B115,E115,H115)/SUM(L97),0)</f>
        <v>0</v>
      </c>
    </row>
    <row r="96" spans="1:12" s="318" customFormat="1" hidden="1" x14ac:dyDescent="0.25">
      <c r="A96" s="148" t="str">
        <f t="shared" si="16"/>
        <v>Example Section 3</v>
      </c>
      <c r="B96" s="149">
        <f t="shared" si="16"/>
        <v>20</v>
      </c>
      <c r="C96" s="85" t="str">
        <f t="shared" si="17"/>
        <v/>
      </c>
      <c r="D96" s="150" t="str">
        <f t="shared" si="18"/>
        <v>Example Section 3</v>
      </c>
      <c r="E96" s="122">
        <f t="shared" si="18"/>
        <v>20</v>
      </c>
      <c r="F96" s="103" t="str">
        <f t="shared" si="19"/>
        <v/>
      </c>
      <c r="G96" s="151" t="str">
        <f t="shared" si="20"/>
        <v>Example Section 3</v>
      </c>
      <c r="H96" s="123">
        <f t="shared" si="20"/>
        <v>20</v>
      </c>
      <c r="I96" s="106" t="str">
        <f t="shared" si="21"/>
        <v/>
      </c>
      <c r="J96" s="397" t="s">
        <v>36</v>
      </c>
      <c r="K96" s="398"/>
      <c r="L96" s="50">
        <f>SUM(C91,F91,I91,L91,C115,F115,I115)</f>
        <v>0</v>
      </c>
    </row>
    <row r="97" spans="1:12" s="318" customFormat="1" hidden="1" x14ac:dyDescent="0.25">
      <c r="A97" s="148" t="str">
        <f t="shared" si="16"/>
        <v>Example Section 4</v>
      </c>
      <c r="B97" s="149">
        <f t="shared" si="16"/>
        <v>20</v>
      </c>
      <c r="C97" s="85" t="str">
        <f t="shared" si="17"/>
        <v/>
      </c>
      <c r="D97" s="150" t="str">
        <f t="shared" si="18"/>
        <v>Example Section 4</v>
      </c>
      <c r="E97" s="122">
        <f t="shared" si="18"/>
        <v>20</v>
      </c>
      <c r="F97" s="103" t="str">
        <f t="shared" si="19"/>
        <v/>
      </c>
      <c r="G97" s="151" t="str">
        <f t="shared" si="20"/>
        <v>Example Section 4</v>
      </c>
      <c r="H97" s="123">
        <f t="shared" si="20"/>
        <v>20</v>
      </c>
      <c r="I97" s="106" t="str">
        <f t="shared" si="21"/>
        <v/>
      </c>
      <c r="J97" s="397" t="s">
        <v>38</v>
      </c>
      <c r="K97" s="398"/>
      <c r="L97" s="50">
        <f>SUM(L108:L114)</f>
        <v>0</v>
      </c>
    </row>
    <row r="98" spans="1:12" s="318" customFormat="1" hidden="1" x14ac:dyDescent="0.25">
      <c r="A98" s="148" t="str">
        <f t="shared" si="16"/>
        <v>Example Section 5</v>
      </c>
      <c r="B98" s="149">
        <f t="shared" si="16"/>
        <v>20</v>
      </c>
      <c r="C98" s="85" t="str">
        <f t="shared" si="17"/>
        <v/>
      </c>
      <c r="D98" s="150" t="str">
        <f t="shared" si="18"/>
        <v>Example Section 5</v>
      </c>
      <c r="E98" s="122">
        <f t="shared" si="18"/>
        <v>20</v>
      </c>
      <c r="F98" s="103" t="str">
        <f t="shared" si="19"/>
        <v/>
      </c>
      <c r="G98" s="151" t="str">
        <f t="shared" si="20"/>
        <v>Example Section 5</v>
      </c>
      <c r="H98" s="123">
        <f t="shared" si="20"/>
        <v>20</v>
      </c>
      <c r="I98" s="106" t="str">
        <f t="shared" si="21"/>
        <v/>
      </c>
      <c r="J98" s="391" t="s">
        <v>78</v>
      </c>
      <c r="K98" s="392"/>
      <c r="L98" s="50">
        <f>SUM(C90,F90,I90,L90,C114,F114,I114)</f>
        <v>0</v>
      </c>
    </row>
    <row r="99" spans="1:12" s="318" customFormat="1" hidden="1" x14ac:dyDescent="0.25">
      <c r="A99" s="148" t="str">
        <f t="shared" si="16"/>
        <v/>
      </c>
      <c r="B99" s="149" t="str">
        <f t="shared" si="16"/>
        <v/>
      </c>
      <c r="C99" s="85" t="str">
        <f t="shared" si="17"/>
        <v/>
      </c>
      <c r="D99" s="150" t="str">
        <f t="shared" si="18"/>
        <v/>
      </c>
      <c r="E99" s="122" t="str">
        <f t="shared" si="18"/>
        <v/>
      </c>
      <c r="F99" s="103" t="str">
        <f t="shared" si="19"/>
        <v/>
      </c>
      <c r="G99" s="151" t="str">
        <f t="shared" si="20"/>
        <v/>
      </c>
      <c r="H99" s="123" t="str">
        <f t="shared" si="20"/>
        <v/>
      </c>
      <c r="I99" s="106" t="str">
        <f t="shared" si="21"/>
        <v/>
      </c>
      <c r="J99" s="391" t="s">
        <v>79</v>
      </c>
      <c r="K99" s="392"/>
      <c r="L99" s="50">
        <f>SUM(C91,F91,I91,L91,C115,F115,I115)</f>
        <v>0</v>
      </c>
    </row>
    <row r="100" spans="1:12" s="318" customFormat="1" hidden="1" x14ac:dyDescent="0.25">
      <c r="A100" s="148" t="str">
        <f t="shared" si="16"/>
        <v/>
      </c>
      <c r="B100" s="149" t="str">
        <f t="shared" si="16"/>
        <v/>
      </c>
      <c r="C100" s="85" t="str">
        <f t="shared" si="17"/>
        <v/>
      </c>
      <c r="D100" s="150" t="str">
        <f t="shared" si="18"/>
        <v/>
      </c>
      <c r="E100" s="122" t="str">
        <f t="shared" si="18"/>
        <v/>
      </c>
      <c r="F100" s="103" t="str">
        <f t="shared" si="19"/>
        <v/>
      </c>
      <c r="G100" s="151" t="str">
        <f t="shared" si="20"/>
        <v/>
      </c>
      <c r="H100" s="123" t="str">
        <f t="shared" si="20"/>
        <v/>
      </c>
      <c r="I100" s="106" t="str">
        <f t="shared" si="21"/>
        <v/>
      </c>
      <c r="J100" s="391" t="s">
        <v>40</v>
      </c>
      <c r="K100" s="392"/>
      <c r="L100" s="50" t="b">
        <f>IFERROR(L94&lt;&gt;L96,"")</f>
        <v>0</v>
      </c>
    </row>
    <row r="101" spans="1:12" s="318" customFormat="1" hidden="1" x14ac:dyDescent="0.25">
      <c r="A101" s="148" t="str">
        <f t="shared" si="16"/>
        <v/>
      </c>
      <c r="B101" s="149" t="str">
        <f t="shared" si="16"/>
        <v/>
      </c>
      <c r="C101" s="85" t="str">
        <f t="shared" si="17"/>
        <v/>
      </c>
      <c r="D101" s="150" t="str">
        <f t="shared" si="18"/>
        <v/>
      </c>
      <c r="E101" s="122" t="str">
        <f t="shared" si="18"/>
        <v/>
      </c>
      <c r="F101" s="103" t="str">
        <f t="shared" si="19"/>
        <v/>
      </c>
      <c r="G101" s="151" t="str">
        <f t="shared" si="20"/>
        <v/>
      </c>
      <c r="H101" s="123" t="str">
        <f t="shared" si="20"/>
        <v/>
      </c>
      <c r="I101" s="106" t="str">
        <f t="shared" si="21"/>
        <v/>
      </c>
      <c r="J101" s="391" t="s">
        <v>52</v>
      </c>
      <c r="K101" s="392"/>
      <c r="L101" s="112" t="str">
        <f>IF(MAX(J60:J66)=0, "NONE", VLOOKUP(MAX(J60:J66),J60:K66,2,FALSE))</f>
        <v>NONE</v>
      </c>
    </row>
    <row r="102" spans="1:12" s="318" customFormat="1" hidden="1" x14ac:dyDescent="0.25">
      <c r="A102" s="148" t="str">
        <f t="shared" si="16"/>
        <v/>
      </c>
      <c r="B102" s="149" t="str">
        <f t="shared" si="16"/>
        <v/>
      </c>
      <c r="C102" s="85" t="str">
        <f t="shared" si="17"/>
        <v/>
      </c>
      <c r="D102" s="150" t="str">
        <f t="shared" si="18"/>
        <v/>
      </c>
      <c r="E102" s="122" t="str">
        <f t="shared" si="18"/>
        <v/>
      </c>
      <c r="F102" s="103" t="str">
        <f t="shared" si="19"/>
        <v/>
      </c>
      <c r="G102" s="151" t="str">
        <f t="shared" si="20"/>
        <v/>
      </c>
      <c r="H102" s="123" t="str">
        <f t="shared" si="20"/>
        <v/>
      </c>
      <c r="I102" s="106" t="str">
        <f t="shared" si="21"/>
        <v/>
      </c>
      <c r="J102" s="391" t="s">
        <v>160</v>
      </c>
      <c r="K102" s="392"/>
      <c r="L102" s="321"/>
    </row>
    <row r="103" spans="1:12" s="318" customFormat="1" hidden="1" x14ac:dyDescent="0.25">
      <c r="A103" s="148" t="str">
        <f t="shared" si="16"/>
        <v/>
      </c>
      <c r="B103" s="149" t="str">
        <f t="shared" si="16"/>
        <v/>
      </c>
      <c r="C103" s="85" t="str">
        <f t="shared" si="17"/>
        <v/>
      </c>
      <c r="D103" s="150" t="str">
        <f t="shared" si="18"/>
        <v/>
      </c>
      <c r="E103" s="122" t="str">
        <f t="shared" si="18"/>
        <v/>
      </c>
      <c r="F103" s="103" t="str">
        <f t="shared" si="19"/>
        <v/>
      </c>
      <c r="G103" s="151" t="str">
        <f t="shared" si="20"/>
        <v/>
      </c>
      <c r="H103" s="123" t="str">
        <f t="shared" si="20"/>
        <v/>
      </c>
      <c r="I103" s="106" t="str">
        <f t="shared" si="21"/>
        <v/>
      </c>
      <c r="J103" s="391"/>
      <c r="K103" s="392"/>
      <c r="L103" s="213"/>
    </row>
    <row r="104" spans="1:12" s="318" customFormat="1" hidden="1" x14ac:dyDescent="0.25">
      <c r="A104" s="148" t="str">
        <f t="shared" si="16"/>
        <v/>
      </c>
      <c r="B104" s="149" t="str">
        <f t="shared" si="16"/>
        <v/>
      </c>
      <c r="C104" s="85" t="str">
        <f t="shared" si="17"/>
        <v/>
      </c>
      <c r="D104" s="150" t="str">
        <f t="shared" si="18"/>
        <v/>
      </c>
      <c r="E104" s="122" t="str">
        <f t="shared" si="18"/>
        <v/>
      </c>
      <c r="F104" s="103" t="str">
        <f t="shared" si="19"/>
        <v/>
      </c>
      <c r="G104" s="151" t="str">
        <f t="shared" si="20"/>
        <v/>
      </c>
      <c r="H104" s="123" t="str">
        <f t="shared" si="20"/>
        <v/>
      </c>
      <c r="I104" s="106" t="str">
        <f t="shared" si="21"/>
        <v/>
      </c>
      <c r="J104" s="391"/>
      <c r="K104" s="392"/>
      <c r="L104" s="213"/>
    </row>
    <row r="105" spans="1:12" s="318" customFormat="1" hidden="1" x14ac:dyDescent="0.25">
      <c r="A105" s="148" t="str">
        <f t="shared" si="16"/>
        <v/>
      </c>
      <c r="B105" s="149" t="str">
        <f t="shared" si="16"/>
        <v/>
      </c>
      <c r="C105" s="85" t="str">
        <f t="shared" si="17"/>
        <v/>
      </c>
      <c r="D105" s="150" t="str">
        <f t="shared" si="18"/>
        <v/>
      </c>
      <c r="E105" s="122" t="str">
        <f t="shared" si="18"/>
        <v/>
      </c>
      <c r="F105" s="103" t="str">
        <f t="shared" si="19"/>
        <v/>
      </c>
      <c r="G105" s="151" t="str">
        <f t="shared" si="20"/>
        <v/>
      </c>
      <c r="H105" s="123" t="str">
        <f t="shared" si="20"/>
        <v/>
      </c>
      <c r="I105" s="106" t="str">
        <f t="shared" si="21"/>
        <v/>
      </c>
      <c r="J105" s="391"/>
      <c r="K105" s="392"/>
      <c r="L105" s="213"/>
    </row>
    <row r="106" spans="1:12" s="318" customFormat="1" hidden="1" x14ac:dyDescent="0.25">
      <c r="A106" s="148" t="str">
        <f t="shared" si="16"/>
        <v/>
      </c>
      <c r="B106" s="149" t="str">
        <f t="shared" si="16"/>
        <v/>
      </c>
      <c r="C106" s="85" t="str">
        <f t="shared" si="17"/>
        <v/>
      </c>
      <c r="D106" s="150" t="str">
        <f t="shared" si="18"/>
        <v/>
      </c>
      <c r="E106" s="122" t="str">
        <f t="shared" si="18"/>
        <v/>
      </c>
      <c r="F106" s="103" t="str">
        <f t="shared" si="19"/>
        <v/>
      </c>
      <c r="G106" s="151" t="str">
        <f t="shared" si="20"/>
        <v/>
      </c>
      <c r="H106" s="123" t="str">
        <f t="shared" si="20"/>
        <v/>
      </c>
      <c r="I106" s="106" t="str">
        <f t="shared" si="21"/>
        <v/>
      </c>
      <c r="J106" s="391"/>
      <c r="K106" s="392"/>
      <c r="L106" s="213"/>
    </row>
    <row r="107" spans="1:12" s="318" customFormat="1" hidden="1" x14ac:dyDescent="0.25">
      <c r="A107" s="148" t="str">
        <f t="shared" si="16"/>
        <v/>
      </c>
      <c r="B107" s="149" t="str">
        <f t="shared" si="16"/>
        <v/>
      </c>
      <c r="C107" s="85" t="str">
        <f t="shared" si="17"/>
        <v/>
      </c>
      <c r="D107" s="150" t="str">
        <f t="shared" si="18"/>
        <v/>
      </c>
      <c r="E107" s="122" t="str">
        <f t="shared" si="18"/>
        <v/>
      </c>
      <c r="F107" s="103" t="str">
        <f t="shared" si="19"/>
        <v/>
      </c>
      <c r="G107" s="151" t="str">
        <f t="shared" si="20"/>
        <v/>
      </c>
      <c r="H107" s="123" t="str">
        <f t="shared" si="20"/>
        <v/>
      </c>
      <c r="I107" s="106" t="str">
        <f t="shared" si="21"/>
        <v/>
      </c>
      <c r="J107" s="391"/>
      <c r="K107" s="392"/>
      <c r="L107" s="213"/>
    </row>
    <row r="108" spans="1:12" s="318" customFormat="1" hidden="1" x14ac:dyDescent="0.25">
      <c r="A108" s="148" t="str">
        <f t="shared" si="16"/>
        <v/>
      </c>
      <c r="B108" s="149" t="str">
        <f t="shared" si="16"/>
        <v/>
      </c>
      <c r="C108" s="85" t="str">
        <f t="shared" si="17"/>
        <v/>
      </c>
      <c r="D108" s="150" t="str">
        <f t="shared" si="18"/>
        <v/>
      </c>
      <c r="E108" s="122" t="str">
        <f t="shared" si="18"/>
        <v/>
      </c>
      <c r="F108" s="103" t="str">
        <f t="shared" si="19"/>
        <v/>
      </c>
      <c r="G108" s="151" t="str">
        <f t="shared" si="20"/>
        <v/>
      </c>
      <c r="H108" s="123" t="str">
        <f t="shared" si="20"/>
        <v/>
      </c>
      <c r="I108" s="106" t="str">
        <f t="shared" si="21"/>
        <v/>
      </c>
      <c r="J108" s="391" t="s">
        <v>56</v>
      </c>
      <c r="K108" s="392"/>
      <c r="L108" s="112" t="str">
        <f>IF(A68&lt;&gt; "Unused", 1, "")</f>
        <v/>
      </c>
    </row>
    <row r="109" spans="1:12" s="318" customFormat="1" hidden="1" x14ac:dyDescent="0.25">
      <c r="A109" s="148" t="str">
        <f t="shared" si="16"/>
        <v/>
      </c>
      <c r="B109" s="149" t="str">
        <f t="shared" si="16"/>
        <v/>
      </c>
      <c r="C109" s="85" t="str">
        <f t="shared" si="17"/>
        <v/>
      </c>
      <c r="D109" s="150" t="str">
        <f t="shared" si="18"/>
        <v/>
      </c>
      <c r="E109" s="122" t="str">
        <f t="shared" si="18"/>
        <v/>
      </c>
      <c r="F109" s="103" t="str">
        <f t="shared" si="19"/>
        <v/>
      </c>
      <c r="G109" s="151" t="str">
        <f t="shared" si="20"/>
        <v/>
      </c>
      <c r="H109" s="123" t="str">
        <f t="shared" si="20"/>
        <v/>
      </c>
      <c r="I109" s="106" t="str">
        <f t="shared" si="21"/>
        <v/>
      </c>
      <c r="J109" s="391" t="s">
        <v>57</v>
      </c>
      <c r="K109" s="392"/>
      <c r="L109" s="112" t="str">
        <f>IF(D68&lt;&gt; "Unused", 1, "")</f>
        <v/>
      </c>
    </row>
    <row r="110" spans="1:12" s="318" customFormat="1" hidden="1" x14ac:dyDescent="0.25">
      <c r="A110" s="148" t="str">
        <f t="shared" si="16"/>
        <v/>
      </c>
      <c r="B110" s="149" t="str">
        <f t="shared" si="16"/>
        <v/>
      </c>
      <c r="C110" s="85" t="str">
        <f t="shared" si="17"/>
        <v/>
      </c>
      <c r="D110" s="150" t="str">
        <f t="shared" si="18"/>
        <v/>
      </c>
      <c r="E110" s="122" t="str">
        <f t="shared" si="18"/>
        <v/>
      </c>
      <c r="F110" s="103" t="str">
        <f t="shared" si="19"/>
        <v/>
      </c>
      <c r="G110" s="151" t="str">
        <f t="shared" si="20"/>
        <v/>
      </c>
      <c r="H110" s="123" t="str">
        <f t="shared" si="20"/>
        <v/>
      </c>
      <c r="I110" s="106" t="str">
        <f t="shared" si="21"/>
        <v/>
      </c>
      <c r="J110" s="391" t="s">
        <v>58</v>
      </c>
      <c r="K110" s="392"/>
      <c r="L110" s="112" t="str">
        <f>IF(G68&lt;&gt; "Unused", 1, "")</f>
        <v/>
      </c>
    </row>
    <row r="111" spans="1:12" s="318" customFormat="1" hidden="1" x14ac:dyDescent="0.25">
      <c r="A111" s="148" t="str">
        <f t="shared" si="16"/>
        <v/>
      </c>
      <c r="B111" s="149" t="str">
        <f t="shared" si="16"/>
        <v/>
      </c>
      <c r="C111" s="85" t="str">
        <f t="shared" si="17"/>
        <v/>
      </c>
      <c r="D111" s="150" t="str">
        <f t="shared" si="18"/>
        <v/>
      </c>
      <c r="E111" s="122" t="str">
        <f t="shared" si="18"/>
        <v/>
      </c>
      <c r="F111" s="103" t="str">
        <f t="shared" si="19"/>
        <v/>
      </c>
      <c r="G111" s="151" t="str">
        <f t="shared" si="20"/>
        <v/>
      </c>
      <c r="H111" s="123" t="str">
        <f t="shared" si="20"/>
        <v/>
      </c>
      <c r="I111" s="106" t="str">
        <f t="shared" si="21"/>
        <v/>
      </c>
      <c r="J111" s="391" t="s">
        <v>59</v>
      </c>
      <c r="K111" s="392"/>
      <c r="L111" s="112" t="str">
        <f>IF(J68&lt;&gt; "Unused", 1, "")</f>
        <v/>
      </c>
    </row>
    <row r="112" spans="1:12" s="318" customFormat="1" hidden="1" x14ac:dyDescent="0.25">
      <c r="A112" s="148" t="str">
        <f t="shared" si="16"/>
        <v/>
      </c>
      <c r="B112" s="149" t="str">
        <f t="shared" si="16"/>
        <v/>
      </c>
      <c r="C112" s="85" t="str">
        <f t="shared" si="17"/>
        <v/>
      </c>
      <c r="D112" s="150" t="str">
        <f t="shared" si="18"/>
        <v/>
      </c>
      <c r="E112" s="122" t="str">
        <f t="shared" si="18"/>
        <v/>
      </c>
      <c r="F112" s="103" t="str">
        <f t="shared" si="19"/>
        <v/>
      </c>
      <c r="G112" s="151" t="str">
        <f t="shared" si="20"/>
        <v/>
      </c>
      <c r="H112" s="123" t="str">
        <f t="shared" si="20"/>
        <v/>
      </c>
      <c r="I112" s="106" t="str">
        <f t="shared" si="21"/>
        <v/>
      </c>
      <c r="J112" s="391" t="s">
        <v>60</v>
      </c>
      <c r="K112" s="392"/>
      <c r="L112" s="112" t="str">
        <f>IF(A92&lt;&gt; "Unused", 1, "")</f>
        <v/>
      </c>
    </row>
    <row r="113" spans="1:13" s="318" customFormat="1" ht="15.75" hidden="1" thickBot="1" x14ac:dyDescent="0.3">
      <c r="A113" s="152" t="str">
        <f t="shared" si="16"/>
        <v/>
      </c>
      <c r="B113" s="153" t="str">
        <f t="shared" si="16"/>
        <v/>
      </c>
      <c r="C113" s="86" t="str">
        <f t="shared" si="17"/>
        <v/>
      </c>
      <c r="D113" s="154" t="str">
        <f t="shared" si="18"/>
        <v/>
      </c>
      <c r="E113" s="124" t="str">
        <f t="shared" si="18"/>
        <v/>
      </c>
      <c r="F113" s="104" t="str">
        <f t="shared" si="19"/>
        <v/>
      </c>
      <c r="G113" s="155" t="str">
        <f t="shared" si="20"/>
        <v/>
      </c>
      <c r="H113" s="125" t="str">
        <f t="shared" si="20"/>
        <v/>
      </c>
      <c r="I113" s="110" t="str">
        <f t="shared" si="21"/>
        <v/>
      </c>
      <c r="J113" s="391" t="s">
        <v>61</v>
      </c>
      <c r="K113" s="392"/>
      <c r="L113" s="112" t="str">
        <f>IF(D92&lt;&gt; "Unused", 1, "")</f>
        <v/>
      </c>
    </row>
    <row r="114" spans="1:13" s="318" customFormat="1" ht="15.75" hidden="1" thickBot="1" x14ac:dyDescent="0.3">
      <c r="A114" s="58" t="s">
        <v>31</v>
      </c>
      <c r="B114" s="75">
        <f>IF(A92="Unused",0,SUM(B94:B113))</f>
        <v>0</v>
      </c>
      <c r="C114" s="76">
        <f>SUM(C94:C113)</f>
        <v>0</v>
      </c>
      <c r="D114" s="59" t="s">
        <v>31</v>
      </c>
      <c r="E114" s="77">
        <f>IF(D92="Unused",0,SUM(E94:E113))</f>
        <v>0</v>
      </c>
      <c r="F114" s="89">
        <f>SUM(F94:F113)</f>
        <v>0</v>
      </c>
      <c r="G114" s="107" t="s">
        <v>31</v>
      </c>
      <c r="H114" s="108">
        <f>IF(G92="Unused",0,SUM(H94:H113))</f>
        <v>0</v>
      </c>
      <c r="I114" s="109">
        <f>SUM(I94:I113)</f>
        <v>0</v>
      </c>
      <c r="J114" s="393" t="s">
        <v>62</v>
      </c>
      <c r="K114" s="394"/>
      <c r="L114" s="212" t="str">
        <f>IF(G92&lt;&gt; "Unused", 1, "")</f>
        <v/>
      </c>
    </row>
    <row r="115" spans="1:13" s="318" customFormat="1" hidden="1" x14ac:dyDescent="0.25">
      <c r="A115" s="316">
        <f>SUM(C115-C114)</f>
        <v>0</v>
      </c>
      <c r="B115" s="317">
        <f>IFERROR(SUM(C115/COUNTA(B94:B113))/SUM(B114/COUNTA(B94:B113)),0)</f>
        <v>0</v>
      </c>
      <c r="C115" s="316"/>
      <c r="D115" s="316">
        <f>SUM(F115-F114)</f>
        <v>0</v>
      </c>
      <c r="E115" s="316">
        <f>IFERROR(SUM(F115/COUNTA(E94:E113))/SUM(E114/COUNTA(E94:E113)),0)</f>
        <v>0</v>
      </c>
      <c r="F115" s="316"/>
      <c r="G115" s="316">
        <f>SUM(I115-I114)</f>
        <v>0</v>
      </c>
      <c r="H115" s="317">
        <f>IFERROR(SUM(I115/COUNTA(H94:H113))/SUM(H114/COUNTA(H94:H113)),0)</f>
        <v>0</v>
      </c>
      <c r="I115" s="316"/>
    </row>
    <row r="116" spans="1:13" s="318" customFormat="1" hidden="1" x14ac:dyDescent="0.25">
      <c r="A116" s="387" t="s">
        <v>161</v>
      </c>
      <c r="B116" s="387"/>
      <c r="C116" s="387"/>
      <c r="D116" s="387"/>
      <c r="E116" s="387"/>
      <c r="F116" s="387"/>
      <c r="G116" s="387"/>
      <c r="H116" s="387"/>
      <c r="I116" s="387"/>
      <c r="J116" s="387"/>
      <c r="K116" s="387"/>
      <c r="L116" s="387"/>
      <c r="M116" s="319"/>
    </row>
    <row r="117" spans="1:13" s="318" customFormat="1" hidden="1" x14ac:dyDescent="0.25">
      <c r="A117" s="387"/>
      <c r="B117" s="387"/>
      <c r="C117" s="387"/>
      <c r="D117" s="387"/>
      <c r="E117" s="387"/>
      <c r="F117" s="387"/>
      <c r="G117" s="387"/>
      <c r="H117" s="387"/>
      <c r="I117" s="387"/>
      <c r="J117" s="387"/>
      <c r="K117" s="387"/>
      <c r="L117" s="387"/>
      <c r="M117" s="319"/>
    </row>
    <row r="118" spans="1:13" s="318" customFormat="1" hidden="1" x14ac:dyDescent="0.25">
      <c r="A118" s="387"/>
      <c r="B118" s="387"/>
      <c r="C118" s="387"/>
      <c r="D118" s="387"/>
      <c r="E118" s="387"/>
      <c r="F118" s="387"/>
      <c r="G118" s="387"/>
      <c r="H118" s="387"/>
      <c r="I118" s="387"/>
      <c r="J118" s="387"/>
      <c r="K118" s="387"/>
      <c r="L118" s="387"/>
    </row>
    <row r="119" spans="1:13" s="318" customFormat="1" hidden="1" x14ac:dyDescent="0.25">
      <c r="A119" s="387"/>
      <c r="B119" s="387"/>
      <c r="C119" s="387"/>
      <c r="D119" s="387"/>
      <c r="E119" s="387"/>
      <c r="F119" s="387"/>
      <c r="G119" s="387"/>
      <c r="H119" s="387"/>
      <c r="I119" s="387"/>
      <c r="J119" s="387"/>
      <c r="K119" s="387"/>
      <c r="L119" s="387"/>
    </row>
    <row r="120" spans="1:13" s="318" customFormat="1" hidden="1" x14ac:dyDescent="0.25">
      <c r="A120" s="387"/>
      <c r="B120" s="387"/>
      <c r="C120" s="387"/>
      <c r="D120" s="387"/>
      <c r="E120" s="387"/>
      <c r="F120" s="387"/>
      <c r="G120" s="387"/>
      <c r="H120" s="387"/>
      <c r="I120" s="387"/>
      <c r="J120" s="387"/>
      <c r="K120" s="387"/>
      <c r="L120" s="387"/>
    </row>
    <row r="121" spans="1:13" s="318" customFormat="1" hidden="1" x14ac:dyDescent="0.25">
      <c r="A121" s="387"/>
      <c r="B121" s="387"/>
      <c r="C121" s="387"/>
      <c r="D121" s="387"/>
      <c r="E121" s="387"/>
      <c r="F121" s="387"/>
      <c r="G121" s="387"/>
      <c r="H121" s="387"/>
      <c r="I121" s="387"/>
      <c r="J121" s="387"/>
      <c r="K121" s="387"/>
      <c r="L121" s="387"/>
    </row>
    <row r="122" spans="1:13" s="318" customFormat="1" hidden="1" x14ac:dyDescent="0.25">
      <c r="A122" s="387"/>
      <c r="B122" s="387"/>
      <c r="C122" s="387"/>
      <c r="D122" s="387"/>
      <c r="E122" s="387"/>
      <c r="F122" s="387"/>
      <c r="G122" s="387"/>
      <c r="H122" s="387"/>
      <c r="I122" s="387"/>
      <c r="J122" s="387"/>
      <c r="K122" s="387"/>
      <c r="L122" s="387"/>
    </row>
    <row r="123" spans="1:13" s="318" customFormat="1" hidden="1" x14ac:dyDescent="0.25">
      <c r="A123" s="387"/>
      <c r="B123" s="387"/>
      <c r="C123" s="387"/>
      <c r="D123" s="387"/>
      <c r="E123" s="387"/>
      <c r="F123" s="387"/>
      <c r="G123" s="387"/>
      <c r="H123" s="387"/>
      <c r="I123" s="387"/>
      <c r="J123" s="387"/>
      <c r="K123" s="387"/>
      <c r="L123" s="387"/>
    </row>
    <row r="124" spans="1:13" s="318" customFormat="1" hidden="1" x14ac:dyDescent="0.25">
      <c r="A124" s="387"/>
      <c r="B124" s="387"/>
      <c r="C124" s="387"/>
      <c r="D124" s="387"/>
      <c r="E124" s="387"/>
      <c r="F124" s="387"/>
      <c r="G124" s="387"/>
      <c r="H124" s="387"/>
      <c r="I124" s="387"/>
      <c r="J124" s="387"/>
      <c r="K124" s="387"/>
      <c r="L124" s="387"/>
    </row>
    <row r="125" spans="1:13" s="318" customFormat="1" hidden="1" x14ac:dyDescent="0.25">
      <c r="A125" s="387"/>
      <c r="B125" s="387"/>
      <c r="C125" s="387"/>
      <c r="D125" s="387"/>
      <c r="E125" s="387"/>
      <c r="F125" s="387"/>
      <c r="G125" s="387"/>
      <c r="H125" s="387"/>
      <c r="I125" s="387"/>
      <c r="J125" s="387"/>
      <c r="K125" s="387"/>
      <c r="L125" s="387"/>
    </row>
    <row r="126" spans="1:13" s="318" customFormat="1" hidden="1" x14ac:dyDescent="0.25">
      <c r="A126" s="387"/>
      <c r="B126" s="387"/>
      <c r="C126" s="387"/>
      <c r="D126" s="387"/>
      <c r="E126" s="387"/>
      <c r="F126" s="387"/>
      <c r="G126" s="387"/>
      <c r="H126" s="387"/>
      <c r="I126" s="387"/>
      <c r="J126" s="387"/>
      <c r="K126" s="387"/>
      <c r="L126" s="387"/>
    </row>
    <row r="127" spans="1:13" s="318" customFormat="1" hidden="1" x14ac:dyDescent="0.25">
      <c r="A127" s="387"/>
      <c r="B127" s="387"/>
      <c r="C127" s="387"/>
      <c r="D127" s="387"/>
      <c r="E127" s="387"/>
      <c r="F127" s="387"/>
      <c r="G127" s="387"/>
      <c r="H127" s="387"/>
      <c r="I127" s="387"/>
      <c r="J127" s="387"/>
      <c r="K127" s="387"/>
      <c r="L127" s="387"/>
    </row>
    <row r="128" spans="1:13" s="318" customFormat="1" hidden="1" x14ac:dyDescent="0.25">
      <c r="A128" s="387"/>
      <c r="B128" s="387"/>
      <c r="C128" s="387"/>
      <c r="D128" s="387"/>
      <c r="E128" s="387"/>
      <c r="F128" s="387"/>
      <c r="G128" s="387"/>
      <c r="H128" s="387"/>
      <c r="I128" s="387"/>
      <c r="J128" s="387"/>
      <c r="K128" s="387"/>
      <c r="L128" s="387"/>
    </row>
    <row r="129" spans="1:14" s="318" customFormat="1" hidden="1" x14ac:dyDescent="0.25">
      <c r="A129" s="387"/>
      <c r="B129" s="387"/>
      <c r="C129" s="387"/>
      <c r="D129" s="387"/>
      <c r="E129" s="387"/>
      <c r="F129" s="387"/>
      <c r="G129" s="387"/>
      <c r="H129" s="387"/>
      <c r="I129" s="387"/>
      <c r="J129" s="387"/>
      <c r="K129" s="387"/>
      <c r="L129" s="387"/>
    </row>
    <row r="130" spans="1:14" x14ac:dyDescent="0.25">
      <c r="C130" s="311"/>
      <c r="D130" s="311"/>
    </row>
    <row r="131" spans="1:14" x14ac:dyDescent="0.25">
      <c r="C131" s="311"/>
      <c r="D131" s="311"/>
      <c r="F131" s="313"/>
      <c r="G131" s="313"/>
      <c r="H131" s="313"/>
      <c r="I131" s="313"/>
      <c r="J131" s="313"/>
      <c r="K131" s="313"/>
      <c r="L131" s="313"/>
      <c r="M131" s="313"/>
      <c r="N131" s="313"/>
    </row>
    <row r="134" spans="1:14" hidden="1" x14ac:dyDescent="0.25"/>
    <row r="135" spans="1:14" hidden="1" x14ac:dyDescent="0.25"/>
    <row r="136" spans="1:14" hidden="1" x14ac:dyDescent="0.25"/>
    <row r="137" spans="1:14" hidden="1" x14ac:dyDescent="0.25"/>
  </sheetData>
  <sheetProtection algorithmName="SHA-512" hashValue="btSxRWHCel3RpqlTMEZmpFMtqPsN8kIvc8nKaVFxll/LOlQcYWLekFFmEPRoredSDAGaScdtPQQO9TI6DtElrQ==" saltValue="0yGFgONbx2GGjhrhyd0xog==" spinCount="100000" sheet="1" objects="1" scenarios="1" selectLockedCells="1" sort="0" autoFilter="0"/>
  <mergeCells count="50">
    <mergeCell ref="O10:Q10"/>
    <mergeCell ref="J37:K37"/>
    <mergeCell ref="J36:K36"/>
    <mergeCell ref="J42:K42"/>
    <mergeCell ref="J41:K41"/>
    <mergeCell ref="J40:K40"/>
    <mergeCell ref="J39:K39"/>
    <mergeCell ref="J38:K38"/>
    <mergeCell ref="G35:I35"/>
    <mergeCell ref="D35:F35"/>
    <mergeCell ref="A35:C35"/>
    <mergeCell ref="J11:L11"/>
    <mergeCell ref="G11:I11"/>
    <mergeCell ref="D11:F11"/>
    <mergeCell ref="A11:C11"/>
    <mergeCell ref="J35:L35"/>
    <mergeCell ref="J43:L43"/>
    <mergeCell ref="A92:C92"/>
    <mergeCell ref="D92:F92"/>
    <mergeCell ref="G92:I92"/>
    <mergeCell ref="J92:L92"/>
    <mergeCell ref="A68:C68"/>
    <mergeCell ref="D68:F68"/>
    <mergeCell ref="G68:I68"/>
    <mergeCell ref="J68:L68"/>
    <mergeCell ref="J54:L57"/>
    <mergeCell ref="J100:K100"/>
    <mergeCell ref="J101:K101"/>
    <mergeCell ref="J102:K102"/>
    <mergeCell ref="J93:K93"/>
    <mergeCell ref="J94:K94"/>
    <mergeCell ref="J95:K95"/>
    <mergeCell ref="J96:K96"/>
    <mergeCell ref="J97:K97"/>
    <mergeCell ref="A116:L129"/>
    <mergeCell ref="O1:Q1"/>
    <mergeCell ref="J113:K113"/>
    <mergeCell ref="J114:K114"/>
    <mergeCell ref="J108:K108"/>
    <mergeCell ref="J109:K109"/>
    <mergeCell ref="J110:K110"/>
    <mergeCell ref="J111:K111"/>
    <mergeCell ref="J112:K112"/>
    <mergeCell ref="J103:K103"/>
    <mergeCell ref="J104:K104"/>
    <mergeCell ref="J105:K105"/>
    <mergeCell ref="J106:K106"/>
    <mergeCell ref="J107:K107"/>
    <mergeCell ref="J98:K98"/>
    <mergeCell ref="J99:K99"/>
  </mergeCells>
  <conditionalFormatting sqref="O2:O8">
    <cfRule type="expression" dxfId="19" priority="2">
      <formula>CELL("contents",OFFSET(INDIRECT(ADDRESS(ROW(),COLUMN())),0,1))="LOW"</formula>
    </cfRule>
    <cfRule type="expression" dxfId="18" priority="10">
      <formula>CELL("contents",OFFSET(INDIRECT(ADDRESS(ROW(),COLUMN())),0,1))="GOOD"</formula>
    </cfRule>
    <cfRule type="expression" dxfId="17" priority="11">
      <formula>CELL("contents",OFFSET(INDIRECT(ADDRESS(ROW(),COLUMN())),0,1))="HIGH"</formula>
    </cfRule>
  </conditionalFormatting>
  <conditionalFormatting sqref="Q2:Q8">
    <cfRule type="expression" dxfId="16" priority="1">
      <formula>CELL("contents",OFFSET(INDIRECT(ADDRESS(ROW(),COLUMN())),0,-1))="LOW"</formula>
    </cfRule>
    <cfRule type="expression" dxfId="15" priority="8">
      <formula>CELL("contents",OFFSET(INDIRECT(ADDRESS(ROW(),COLUMN())),0,-1))="GOOD"</formula>
    </cfRule>
    <cfRule type="expression" dxfId="14" priority="9">
      <formula>CELL("contents",OFFSET(INDIRECT(ADDRESS(ROW(),COLUMN())),0,-1))="HIGH"</formula>
    </cfRule>
  </conditionalFormatting>
  <conditionalFormatting sqref="P2:P8">
    <cfRule type="containsText" dxfId="13" priority="5" operator="containsText" text="GOOD">
      <formula>NOT(ISERROR(SEARCH("GOOD",P2)))</formula>
    </cfRule>
    <cfRule type="containsText" dxfId="12" priority="6" operator="containsText" text="HIGH">
      <formula>NOT(ISERROR(SEARCH("HIGH",P2)))</formula>
    </cfRule>
    <cfRule type="containsText" dxfId="11" priority="7" operator="containsText" text="LOW">
      <formula>NOT(ISERROR(SEARCH("LOW",P2)))</formula>
    </cfRule>
  </conditionalFormatting>
  <conditionalFormatting sqref="O10">
    <cfRule type="notContainsBlanks" dxfId="10" priority="12">
      <formula>LEN(TRIM(O10))&gt;0</formula>
    </cfRule>
    <cfRule type="containsBlanks" dxfId="9" priority="12">
      <formula>LEN(TRIM(O10))=0</formula>
    </cfRule>
  </conditionalFormatting>
  <pageMargins left="0.7" right="0.7" top="0.75" bottom="0.75" header="0.3" footer="0.3"/>
  <pageSetup scale="3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s.Clear_ABRR_Data">
                <anchor moveWithCells="1" sizeWithCells="1">
                  <from>
                    <xdr:col>13</xdr:col>
                    <xdr:colOff>800100</xdr:colOff>
                    <xdr:row>10</xdr:row>
                    <xdr:rowOff>85725</xdr:rowOff>
                  </from>
                  <to>
                    <xdr:col>15</xdr:col>
                    <xdr:colOff>428625</xdr:colOff>
                    <xdr:row>12</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Buttons.Split">
                <anchor moveWithCells="1" sizeWithCells="1">
                  <from>
                    <xdr:col>5</xdr:col>
                    <xdr:colOff>590550</xdr:colOff>
                    <xdr:row>129</xdr:row>
                    <xdr:rowOff>171450</xdr:rowOff>
                  </from>
                  <to>
                    <xdr:col>6</xdr:col>
                    <xdr:colOff>600075</xdr:colOff>
                    <xdr:row>132</xdr:row>
                    <xdr:rowOff>19050</xdr:rowOff>
                  </to>
                </anchor>
              </controlPr>
            </control>
          </mc:Choice>
        </mc:AlternateContent>
        <mc:AlternateContent xmlns:mc="http://schemas.openxmlformats.org/markup-compatibility/2006">
          <mc:Choice Requires="x14">
            <control shapeId="2051" r:id="rId6" name="Button 3">
              <controlPr defaultSize="0" print="0" autoFill="0" autoPict="0" macro="[0]!Buttons.Merge">
                <anchor moveWithCells="1" sizeWithCells="1">
                  <from>
                    <xdr:col>5</xdr:col>
                    <xdr:colOff>590550</xdr:colOff>
                    <xdr:row>133</xdr:row>
                    <xdr:rowOff>171450</xdr:rowOff>
                  </from>
                  <to>
                    <xdr:col>6</xdr:col>
                    <xdr:colOff>600075</xdr:colOff>
                    <xdr:row>136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
  <sheetViews>
    <sheetView workbookViewId="0">
      <selection activeCell="A2" sqref="A2"/>
    </sheetView>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s>
  <sheetData>
    <row r="1" spans="1:7" s="33" customFormat="1" ht="15.75" thickBot="1" x14ac:dyDescent="0.3">
      <c r="A1" s="269" t="s">
        <v>91</v>
      </c>
      <c r="B1" s="269" t="s">
        <v>92</v>
      </c>
      <c r="C1" s="269" t="s">
        <v>93</v>
      </c>
      <c r="D1" s="269" t="s">
        <v>94</v>
      </c>
      <c r="E1" s="269" t="s">
        <v>95</v>
      </c>
      <c r="F1" s="269" t="s">
        <v>96</v>
      </c>
      <c r="G1" s="269" t="s">
        <v>97</v>
      </c>
    </row>
  </sheetData>
  <sheetProtection algorithmName="SHA-512" hashValue="0Ne7irtH6Vh6LQXxy5981hBiqp7lRi25y3A3C8CxgE7KCesDybxnBF7PPJWP6VjVcv7Jht+dqdTV0IV+Q7VXzg==" saltValue="wFVNdYZ7bFREpe2w3JwC5Q==" spinCount="100000" sheet="1" objects="1" scenarios="1" sort="0" autoFilter="0"/>
  <autoFilter ref="A1:G85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59"/>
  <sheetViews>
    <sheetView workbookViewId="0">
      <selection activeCell="B2" sqref="B2:C2"/>
    </sheetView>
  </sheetViews>
  <sheetFormatPr defaultRowHeight="15" x14ac:dyDescent="0.25"/>
  <cols>
    <col min="1" max="1" width="15.7109375" style="305" customWidth="1"/>
    <col min="2" max="3" width="30.7109375" style="305" customWidth="1"/>
    <col min="4" max="4" width="3.7109375" style="305" customWidth="1"/>
    <col min="5" max="10" width="12.5703125" style="305" bestFit="1" customWidth="1"/>
    <col min="11" max="11" width="3.7109375" style="305" customWidth="1"/>
    <col min="12" max="12" width="10.7109375" style="305" bestFit="1" customWidth="1"/>
    <col min="13" max="16384" width="9.140625" style="305"/>
  </cols>
  <sheetData>
    <row r="1" spans="1:12" ht="15.75" thickBot="1" x14ac:dyDescent="0.3">
      <c r="A1" s="441" t="s">
        <v>145</v>
      </c>
      <c r="B1" s="442"/>
      <c r="C1" s="443"/>
      <c r="E1" s="430" t="s">
        <v>112</v>
      </c>
      <c r="F1" s="431"/>
      <c r="G1" s="431"/>
      <c r="H1" s="431"/>
      <c r="I1" s="431"/>
      <c r="J1" s="432"/>
      <c r="L1" s="287" t="s">
        <v>104</v>
      </c>
    </row>
    <row r="2" spans="1:12" ht="15.75" thickBot="1" x14ac:dyDescent="0.3">
      <c r="A2" s="285" t="s">
        <v>127</v>
      </c>
      <c r="B2" s="439" t="s">
        <v>7</v>
      </c>
      <c r="C2" s="440"/>
      <c r="E2" s="306" t="s">
        <v>126</v>
      </c>
      <c r="F2" s="307" t="s">
        <v>140</v>
      </c>
      <c r="G2" s="307" t="s">
        <v>141</v>
      </c>
      <c r="H2" s="307" t="s">
        <v>142</v>
      </c>
      <c r="I2" s="307" t="s">
        <v>143</v>
      </c>
      <c r="J2" s="308" t="s">
        <v>144</v>
      </c>
      <c r="L2" s="303" t="s">
        <v>105</v>
      </c>
    </row>
    <row r="3" spans="1:12" x14ac:dyDescent="0.25">
      <c r="A3" s="284" t="s">
        <v>113</v>
      </c>
      <c r="B3" s="444" t="s">
        <v>22</v>
      </c>
      <c r="C3" s="445"/>
      <c r="E3" s="294" t="s">
        <v>64</v>
      </c>
      <c r="F3" s="295" t="s">
        <v>70</v>
      </c>
      <c r="G3" s="295" t="s">
        <v>72</v>
      </c>
      <c r="H3" s="295" t="s">
        <v>72</v>
      </c>
      <c r="I3" s="295"/>
      <c r="J3" s="296"/>
    </row>
    <row r="4" spans="1:12" x14ac:dyDescent="0.25">
      <c r="A4" s="284" t="s">
        <v>114</v>
      </c>
      <c r="B4" s="444" t="s">
        <v>23</v>
      </c>
      <c r="C4" s="445"/>
      <c r="E4" s="297" t="s">
        <v>65</v>
      </c>
      <c r="F4" s="298" t="s">
        <v>71</v>
      </c>
      <c r="G4" s="298" t="s">
        <v>73</v>
      </c>
      <c r="H4" s="298" t="s">
        <v>73</v>
      </c>
      <c r="I4" s="298"/>
      <c r="J4" s="299"/>
    </row>
    <row r="5" spans="1:12" x14ac:dyDescent="0.25">
      <c r="A5" s="284" t="s">
        <v>115</v>
      </c>
      <c r="B5" s="444" t="s">
        <v>24</v>
      </c>
      <c r="C5" s="445"/>
      <c r="E5" s="297" t="s">
        <v>66</v>
      </c>
      <c r="F5" s="298"/>
      <c r="G5" s="298" t="s">
        <v>74</v>
      </c>
      <c r="H5" s="298" t="s">
        <v>74</v>
      </c>
      <c r="I5" s="298"/>
      <c r="J5" s="299"/>
    </row>
    <row r="6" spans="1:12" x14ac:dyDescent="0.25">
      <c r="A6" s="284" t="s">
        <v>116</v>
      </c>
      <c r="B6" s="444" t="s">
        <v>25</v>
      </c>
      <c r="C6" s="445"/>
      <c r="E6" s="297" t="s">
        <v>67</v>
      </c>
      <c r="F6" s="298"/>
      <c r="G6" s="298" t="s">
        <v>70</v>
      </c>
      <c r="H6" s="298" t="s">
        <v>70</v>
      </c>
      <c r="I6" s="298"/>
      <c r="J6" s="299"/>
    </row>
    <row r="7" spans="1:12" x14ac:dyDescent="0.25">
      <c r="A7" s="284" t="s">
        <v>117</v>
      </c>
      <c r="B7" s="444" t="s">
        <v>26</v>
      </c>
      <c r="C7" s="445"/>
      <c r="E7" s="297" t="s">
        <v>68</v>
      </c>
      <c r="F7" s="298"/>
      <c r="G7" s="298" t="s">
        <v>71</v>
      </c>
      <c r="H7" s="298"/>
      <c r="I7" s="298"/>
      <c r="J7" s="299"/>
    </row>
    <row r="8" spans="1:12" x14ac:dyDescent="0.25">
      <c r="A8" s="284" t="s">
        <v>118</v>
      </c>
      <c r="B8" s="444" t="s">
        <v>29</v>
      </c>
      <c r="C8" s="445"/>
      <c r="E8" s="297" t="s">
        <v>69</v>
      </c>
      <c r="F8" s="298"/>
      <c r="G8" s="298"/>
      <c r="H8" s="298"/>
      <c r="I8" s="298"/>
      <c r="J8" s="299"/>
    </row>
    <row r="9" spans="1:12" x14ac:dyDescent="0.25">
      <c r="A9" s="284" t="s">
        <v>119</v>
      </c>
      <c r="B9" s="444" t="s">
        <v>28</v>
      </c>
      <c r="C9" s="445"/>
      <c r="E9" s="300"/>
      <c r="F9" s="301"/>
      <c r="G9" s="301"/>
      <c r="H9" s="301"/>
      <c r="I9" s="301"/>
      <c r="J9" s="302"/>
    </row>
    <row r="10" spans="1:12" ht="15.75" thickBot="1" x14ac:dyDescent="0.3">
      <c r="A10" s="284" t="s">
        <v>120</v>
      </c>
      <c r="B10" s="444" t="s">
        <v>27</v>
      </c>
      <c r="C10" s="445"/>
    </row>
    <row r="11" spans="1:12" ht="15.75" thickBot="1" x14ac:dyDescent="0.3">
      <c r="A11" s="284" t="s">
        <v>121</v>
      </c>
      <c r="B11" s="444" t="s">
        <v>30</v>
      </c>
      <c r="C11" s="445"/>
      <c r="E11" s="438" t="s">
        <v>75</v>
      </c>
      <c r="F11" s="400"/>
      <c r="H11" s="438" t="s">
        <v>150</v>
      </c>
      <c r="I11" s="400"/>
    </row>
    <row r="12" spans="1:12" x14ac:dyDescent="0.25">
      <c r="A12" s="284" t="s">
        <v>122</v>
      </c>
      <c r="B12" s="444" t="s">
        <v>98</v>
      </c>
      <c r="C12" s="445"/>
      <c r="E12" s="285" t="s">
        <v>56</v>
      </c>
      <c r="F12" s="291"/>
      <c r="H12" s="285" t="s">
        <v>56</v>
      </c>
      <c r="I12" s="291"/>
    </row>
    <row r="13" spans="1:12" x14ac:dyDescent="0.25">
      <c r="A13" s="284" t="s">
        <v>123</v>
      </c>
      <c r="B13" s="444" t="s">
        <v>99</v>
      </c>
      <c r="C13" s="445"/>
      <c r="E13" s="284" t="s">
        <v>57</v>
      </c>
      <c r="F13" s="292"/>
      <c r="H13" s="284" t="s">
        <v>57</v>
      </c>
      <c r="I13" s="292"/>
    </row>
    <row r="14" spans="1:12" x14ac:dyDescent="0.25">
      <c r="A14" s="284" t="s">
        <v>124</v>
      </c>
      <c r="B14" s="444" t="s">
        <v>100</v>
      </c>
      <c r="C14" s="445"/>
      <c r="E14" s="284" t="s">
        <v>58</v>
      </c>
      <c r="F14" s="292"/>
      <c r="H14" s="284" t="s">
        <v>58</v>
      </c>
      <c r="I14" s="292"/>
    </row>
    <row r="15" spans="1:12" ht="15.75" thickBot="1" x14ac:dyDescent="0.3">
      <c r="A15" s="286" t="s">
        <v>125</v>
      </c>
      <c r="B15" s="449" t="s">
        <v>101</v>
      </c>
      <c r="C15" s="450"/>
      <c r="E15" s="284" t="s">
        <v>59</v>
      </c>
      <c r="F15" s="292"/>
      <c r="H15" s="284" t="s">
        <v>59</v>
      </c>
      <c r="I15" s="292"/>
    </row>
    <row r="16" spans="1:12" ht="15.75" thickBot="1" x14ac:dyDescent="0.3">
      <c r="E16" s="284" t="s">
        <v>60</v>
      </c>
      <c r="F16" s="292"/>
      <c r="H16" s="284" t="s">
        <v>60</v>
      </c>
      <c r="I16" s="292"/>
    </row>
    <row r="17" spans="1:10" ht="15.75" thickBot="1" x14ac:dyDescent="0.3">
      <c r="A17" s="430" t="str">
        <f>"Sheet2 ("&amp;F21&amp;")"</f>
        <v>Sheet2 ()</v>
      </c>
      <c r="B17" s="451"/>
      <c r="C17" s="452"/>
      <c r="E17" s="284" t="s">
        <v>61</v>
      </c>
      <c r="F17" s="292"/>
      <c r="H17" s="284" t="s">
        <v>61</v>
      </c>
      <c r="I17" s="292"/>
    </row>
    <row r="18" spans="1:10" ht="15.75" thickBot="1" x14ac:dyDescent="0.3">
      <c r="A18" s="290" t="s">
        <v>127</v>
      </c>
      <c r="B18" s="454" t="s">
        <v>146</v>
      </c>
      <c r="C18" s="440"/>
      <c r="E18" s="286" t="s">
        <v>62</v>
      </c>
      <c r="F18" s="293"/>
      <c r="H18" s="286" t="s">
        <v>62</v>
      </c>
      <c r="I18" s="293"/>
    </row>
    <row r="19" spans="1:10" ht="15.75" thickBot="1" x14ac:dyDescent="0.3">
      <c r="A19" s="288" t="s">
        <v>128</v>
      </c>
      <c r="B19" s="453" t="s">
        <v>8</v>
      </c>
      <c r="C19" s="445"/>
    </row>
    <row r="20" spans="1:10" ht="15.75" thickBot="1" x14ac:dyDescent="0.3">
      <c r="A20" s="288" t="s">
        <v>129</v>
      </c>
      <c r="B20" s="453" t="s">
        <v>126</v>
      </c>
      <c r="C20" s="445"/>
      <c r="E20" s="446" t="s">
        <v>106</v>
      </c>
      <c r="F20" s="447"/>
      <c r="G20" s="448"/>
    </row>
    <row r="21" spans="1:10" x14ac:dyDescent="0.25">
      <c r="A21" s="288" t="s">
        <v>130</v>
      </c>
      <c r="B21" s="453" t="s">
        <v>9</v>
      </c>
      <c r="C21" s="445"/>
      <c r="E21" s="285" t="s">
        <v>107</v>
      </c>
      <c r="F21" s="454"/>
      <c r="G21" s="440"/>
    </row>
    <row r="22" spans="1:10" x14ac:dyDescent="0.25">
      <c r="A22" s="288" t="s">
        <v>131</v>
      </c>
      <c r="B22" s="453" t="s">
        <v>140</v>
      </c>
      <c r="C22" s="445"/>
      <c r="E22" s="284" t="s">
        <v>108</v>
      </c>
      <c r="F22" s="453"/>
      <c r="G22" s="445"/>
    </row>
    <row r="23" spans="1:10" x14ac:dyDescent="0.25">
      <c r="A23" s="288" t="s">
        <v>132</v>
      </c>
      <c r="B23" s="453" t="s">
        <v>63</v>
      </c>
      <c r="C23" s="445"/>
      <c r="E23" s="284" t="s">
        <v>109</v>
      </c>
      <c r="F23" s="453"/>
      <c r="G23" s="445"/>
    </row>
    <row r="24" spans="1:10" ht="15.75" thickBot="1" x14ac:dyDescent="0.3">
      <c r="A24" s="289" t="s">
        <v>133</v>
      </c>
      <c r="B24" s="455" t="s">
        <v>141</v>
      </c>
      <c r="C24" s="450"/>
      <c r="E24" s="286" t="s">
        <v>110</v>
      </c>
      <c r="F24" s="455"/>
      <c r="G24" s="450"/>
    </row>
    <row r="25" spans="1:10" ht="15.75" thickBot="1" x14ac:dyDescent="0.3"/>
    <row r="26" spans="1:10" ht="15.75" thickBot="1" x14ac:dyDescent="0.3">
      <c r="A26" s="430" t="str">
        <f>"Sheet 3 ("&amp;F22&amp;")"</f>
        <v>Sheet 3 ()</v>
      </c>
      <c r="B26" s="451"/>
      <c r="C26" s="452"/>
      <c r="E26" s="478" t="s">
        <v>151</v>
      </c>
      <c r="F26" s="479"/>
      <c r="G26" s="479"/>
      <c r="H26" s="479"/>
      <c r="I26" s="479"/>
      <c r="J26" s="480"/>
    </row>
    <row r="27" spans="1:10" x14ac:dyDescent="0.25">
      <c r="A27" s="290" t="s">
        <v>127</v>
      </c>
      <c r="B27" s="454" t="s">
        <v>147</v>
      </c>
      <c r="C27" s="440"/>
      <c r="E27" s="457" t="s">
        <v>152</v>
      </c>
      <c r="F27" s="458"/>
      <c r="G27" s="458"/>
      <c r="H27" s="458"/>
      <c r="I27" s="458"/>
      <c r="J27" s="459"/>
    </row>
    <row r="28" spans="1:10" x14ac:dyDescent="0.25">
      <c r="A28" s="288" t="s">
        <v>128</v>
      </c>
      <c r="B28" s="453" t="s">
        <v>8</v>
      </c>
      <c r="C28" s="445"/>
      <c r="E28" s="460"/>
      <c r="F28" s="461"/>
      <c r="G28" s="461"/>
      <c r="H28" s="461"/>
      <c r="I28" s="461"/>
      <c r="J28" s="462"/>
    </row>
    <row r="29" spans="1:10" ht="15.75" thickBot="1" x14ac:dyDescent="0.3">
      <c r="A29" s="288" t="s">
        <v>129</v>
      </c>
      <c r="B29" s="453" t="s">
        <v>126</v>
      </c>
      <c r="C29" s="445"/>
      <c r="E29" s="463"/>
      <c r="F29" s="464"/>
      <c r="G29" s="464"/>
      <c r="H29" s="464"/>
      <c r="I29" s="464"/>
      <c r="J29" s="465"/>
    </row>
    <row r="30" spans="1:10" ht="15.75" thickBot="1" x14ac:dyDescent="0.3">
      <c r="A30" s="288" t="s">
        <v>130</v>
      </c>
      <c r="B30" s="453" t="s">
        <v>9</v>
      </c>
      <c r="C30" s="445"/>
    </row>
    <row r="31" spans="1:10" ht="15.75" thickBot="1" x14ac:dyDescent="0.3">
      <c r="A31" s="288" t="s">
        <v>131</v>
      </c>
      <c r="B31" s="453" t="s">
        <v>140</v>
      </c>
      <c r="C31" s="445"/>
      <c r="E31" s="475" t="s">
        <v>111</v>
      </c>
      <c r="F31" s="476"/>
      <c r="G31" s="476"/>
      <c r="H31" s="476"/>
      <c r="I31" s="476"/>
      <c r="J31" s="477"/>
    </row>
    <row r="32" spans="1:10" x14ac:dyDescent="0.25">
      <c r="A32" s="288" t="s">
        <v>132</v>
      </c>
      <c r="B32" s="453" t="s">
        <v>63</v>
      </c>
      <c r="C32" s="445"/>
      <c r="E32" s="466" t="s">
        <v>153</v>
      </c>
      <c r="F32" s="467"/>
      <c r="G32" s="467"/>
      <c r="H32" s="467"/>
      <c r="I32" s="467"/>
      <c r="J32" s="468"/>
    </row>
    <row r="33" spans="1:10" ht="15.75" thickBot="1" x14ac:dyDescent="0.3">
      <c r="A33" s="289" t="s">
        <v>133</v>
      </c>
      <c r="B33" s="455" t="s">
        <v>141</v>
      </c>
      <c r="C33" s="450"/>
      <c r="E33" s="469"/>
      <c r="F33" s="470"/>
      <c r="G33" s="470"/>
      <c r="H33" s="470"/>
      <c r="I33" s="470"/>
      <c r="J33" s="471"/>
    </row>
    <row r="34" spans="1:10" ht="15.75" thickBot="1" x14ac:dyDescent="0.3">
      <c r="E34" s="469"/>
      <c r="F34" s="470"/>
      <c r="G34" s="470"/>
      <c r="H34" s="470"/>
      <c r="I34" s="470"/>
      <c r="J34" s="471"/>
    </row>
    <row r="35" spans="1:10" ht="15.75" thickBot="1" x14ac:dyDescent="0.3">
      <c r="A35" s="456" t="str">
        <f>"Sheet 4 ("&amp;F23&amp;")"</f>
        <v>Sheet 4 ()</v>
      </c>
      <c r="B35" s="451"/>
      <c r="C35" s="452"/>
      <c r="E35" s="469"/>
      <c r="F35" s="470"/>
      <c r="G35" s="470"/>
      <c r="H35" s="470"/>
      <c r="I35" s="470"/>
      <c r="J35" s="471"/>
    </row>
    <row r="36" spans="1:10" x14ac:dyDescent="0.25">
      <c r="A36" s="285" t="s">
        <v>127</v>
      </c>
      <c r="B36" s="454" t="s">
        <v>148</v>
      </c>
      <c r="C36" s="440"/>
      <c r="E36" s="469"/>
      <c r="F36" s="470"/>
      <c r="G36" s="470"/>
      <c r="H36" s="470"/>
      <c r="I36" s="470"/>
      <c r="J36" s="471"/>
    </row>
    <row r="37" spans="1:10" x14ac:dyDescent="0.25">
      <c r="A37" s="284" t="s">
        <v>128</v>
      </c>
      <c r="B37" s="453" t="s">
        <v>16</v>
      </c>
      <c r="C37" s="445"/>
      <c r="E37" s="469"/>
      <c r="F37" s="470"/>
      <c r="G37" s="470"/>
      <c r="H37" s="470"/>
      <c r="I37" s="470"/>
      <c r="J37" s="471"/>
    </row>
    <row r="38" spans="1:10" x14ac:dyDescent="0.25">
      <c r="A38" s="284" t="s">
        <v>129</v>
      </c>
      <c r="B38" s="453" t="s">
        <v>140</v>
      </c>
      <c r="C38" s="445"/>
      <c r="E38" s="469"/>
      <c r="F38" s="470"/>
      <c r="G38" s="470"/>
      <c r="H38" s="470"/>
      <c r="I38" s="470"/>
      <c r="J38" s="471"/>
    </row>
    <row r="39" spans="1:10" x14ac:dyDescent="0.25">
      <c r="A39" s="284" t="s">
        <v>130</v>
      </c>
      <c r="B39" s="453" t="s">
        <v>17</v>
      </c>
      <c r="C39" s="445"/>
      <c r="E39" s="469"/>
      <c r="F39" s="470"/>
      <c r="G39" s="470"/>
      <c r="H39" s="470"/>
      <c r="I39" s="470"/>
      <c r="J39" s="471"/>
    </row>
    <row r="40" spans="1:10" x14ac:dyDescent="0.25">
      <c r="A40" s="284" t="s">
        <v>131</v>
      </c>
      <c r="B40" s="453" t="s">
        <v>141</v>
      </c>
      <c r="C40" s="445"/>
      <c r="E40" s="469"/>
      <c r="F40" s="470"/>
      <c r="G40" s="470"/>
      <c r="H40" s="470"/>
      <c r="I40" s="470"/>
      <c r="J40" s="471"/>
    </row>
    <row r="41" spans="1:10" x14ac:dyDescent="0.25">
      <c r="A41" s="284" t="s">
        <v>132</v>
      </c>
      <c r="B41" s="453" t="s">
        <v>18</v>
      </c>
      <c r="C41" s="445"/>
      <c r="E41" s="469"/>
      <c r="F41" s="470"/>
      <c r="G41" s="470"/>
      <c r="H41" s="470"/>
      <c r="I41" s="470"/>
      <c r="J41" s="471"/>
    </row>
    <row r="42" spans="1:10" x14ac:dyDescent="0.25">
      <c r="A42" s="284" t="s">
        <v>133</v>
      </c>
      <c r="B42" s="453" t="s">
        <v>142</v>
      </c>
      <c r="C42" s="445"/>
      <c r="E42" s="469"/>
      <c r="F42" s="470"/>
      <c r="G42" s="470"/>
      <c r="H42" s="470"/>
      <c r="I42" s="470"/>
      <c r="J42" s="471"/>
    </row>
    <row r="43" spans="1:10" x14ac:dyDescent="0.25">
      <c r="A43" s="284" t="s">
        <v>134</v>
      </c>
      <c r="B43" s="453" t="s">
        <v>19</v>
      </c>
      <c r="C43" s="445"/>
      <c r="E43" s="469"/>
      <c r="F43" s="470"/>
      <c r="G43" s="470"/>
      <c r="H43" s="470"/>
      <c r="I43" s="470"/>
      <c r="J43" s="471"/>
    </row>
    <row r="44" spans="1:10" x14ac:dyDescent="0.25">
      <c r="A44" s="284" t="s">
        <v>137</v>
      </c>
      <c r="B44" s="453" t="s">
        <v>142</v>
      </c>
      <c r="C44" s="445"/>
      <c r="E44" s="469"/>
      <c r="F44" s="470"/>
      <c r="G44" s="470"/>
      <c r="H44" s="470"/>
      <c r="I44" s="470"/>
      <c r="J44" s="471"/>
    </row>
    <row r="45" spans="1:10" x14ac:dyDescent="0.25">
      <c r="A45" s="284" t="s">
        <v>135</v>
      </c>
      <c r="B45" s="453" t="s">
        <v>20</v>
      </c>
      <c r="C45" s="445"/>
      <c r="E45" s="469"/>
      <c r="F45" s="470"/>
      <c r="G45" s="470"/>
      <c r="H45" s="470"/>
      <c r="I45" s="470"/>
      <c r="J45" s="471"/>
    </row>
    <row r="46" spans="1:10" x14ac:dyDescent="0.25">
      <c r="A46" s="284" t="s">
        <v>138</v>
      </c>
      <c r="B46" s="453" t="s">
        <v>142</v>
      </c>
      <c r="C46" s="445"/>
      <c r="E46" s="469"/>
      <c r="F46" s="470"/>
      <c r="G46" s="470"/>
      <c r="H46" s="470"/>
      <c r="I46" s="470"/>
      <c r="J46" s="471"/>
    </row>
    <row r="47" spans="1:10" x14ac:dyDescent="0.25">
      <c r="A47" s="284" t="s">
        <v>136</v>
      </c>
      <c r="B47" s="453" t="s">
        <v>21</v>
      </c>
      <c r="C47" s="445"/>
      <c r="E47" s="469"/>
      <c r="F47" s="470"/>
      <c r="G47" s="470"/>
      <c r="H47" s="470"/>
      <c r="I47" s="470"/>
      <c r="J47" s="471"/>
    </row>
    <row r="48" spans="1:10" ht="15.75" thickBot="1" x14ac:dyDescent="0.3">
      <c r="A48" s="286" t="s">
        <v>139</v>
      </c>
      <c r="B48" s="455" t="s">
        <v>142</v>
      </c>
      <c r="C48" s="450"/>
      <c r="E48" s="469"/>
      <c r="F48" s="470"/>
      <c r="G48" s="470"/>
      <c r="H48" s="470"/>
      <c r="I48" s="470"/>
      <c r="J48" s="471"/>
    </row>
    <row r="49" spans="1:10" ht="15.75" thickBot="1" x14ac:dyDescent="0.3">
      <c r="E49" s="469"/>
      <c r="F49" s="470"/>
      <c r="G49" s="470"/>
      <c r="H49" s="470"/>
      <c r="I49" s="470"/>
      <c r="J49" s="471"/>
    </row>
    <row r="50" spans="1:10" ht="15.75" thickBot="1" x14ac:dyDescent="0.3">
      <c r="A50" s="456" t="str">
        <f>"Sheet 5 ("&amp;F24&amp;")"</f>
        <v>Sheet 5 ()</v>
      </c>
      <c r="B50" s="451"/>
      <c r="C50" s="452"/>
      <c r="E50" s="469"/>
      <c r="F50" s="470"/>
      <c r="G50" s="470"/>
      <c r="H50" s="470"/>
      <c r="I50" s="470"/>
      <c r="J50" s="471"/>
    </row>
    <row r="51" spans="1:10" x14ac:dyDescent="0.25">
      <c r="A51" s="285" t="s">
        <v>127</v>
      </c>
      <c r="B51" s="454" t="s">
        <v>149</v>
      </c>
      <c r="C51" s="440"/>
      <c r="E51" s="469"/>
      <c r="F51" s="470"/>
      <c r="G51" s="470"/>
      <c r="H51" s="470"/>
      <c r="I51" s="470"/>
      <c r="J51" s="471"/>
    </row>
    <row r="52" spans="1:10" x14ac:dyDescent="0.25">
      <c r="A52" s="284" t="s">
        <v>128</v>
      </c>
      <c r="B52" s="453" t="s">
        <v>16</v>
      </c>
      <c r="C52" s="445"/>
      <c r="E52" s="469"/>
      <c r="F52" s="470"/>
      <c r="G52" s="470"/>
      <c r="H52" s="470"/>
      <c r="I52" s="470"/>
      <c r="J52" s="471"/>
    </row>
    <row r="53" spans="1:10" x14ac:dyDescent="0.25">
      <c r="A53" s="284" t="s">
        <v>129</v>
      </c>
      <c r="B53" s="453" t="s">
        <v>140</v>
      </c>
      <c r="C53" s="445"/>
      <c r="E53" s="469"/>
      <c r="F53" s="470"/>
      <c r="G53" s="470"/>
      <c r="H53" s="470"/>
      <c r="I53" s="470"/>
      <c r="J53" s="471"/>
    </row>
    <row r="54" spans="1:10" x14ac:dyDescent="0.25">
      <c r="A54" s="284" t="s">
        <v>130</v>
      </c>
      <c r="B54" s="453" t="s">
        <v>17</v>
      </c>
      <c r="C54" s="445"/>
      <c r="E54" s="469"/>
      <c r="F54" s="470"/>
      <c r="G54" s="470"/>
      <c r="H54" s="470"/>
      <c r="I54" s="470"/>
      <c r="J54" s="471"/>
    </row>
    <row r="55" spans="1:10" x14ac:dyDescent="0.25">
      <c r="A55" s="284" t="s">
        <v>131</v>
      </c>
      <c r="B55" s="453" t="s">
        <v>141</v>
      </c>
      <c r="C55" s="445"/>
      <c r="E55" s="469"/>
      <c r="F55" s="470"/>
      <c r="G55" s="470"/>
      <c r="H55" s="470"/>
      <c r="I55" s="470"/>
      <c r="J55" s="471"/>
    </row>
    <row r="56" spans="1:10" x14ac:dyDescent="0.25">
      <c r="A56" s="284" t="s">
        <v>132</v>
      </c>
      <c r="B56" s="453" t="s">
        <v>102</v>
      </c>
      <c r="C56" s="445"/>
      <c r="E56" s="469"/>
      <c r="F56" s="470"/>
      <c r="G56" s="470"/>
      <c r="H56" s="470"/>
      <c r="I56" s="470"/>
      <c r="J56" s="471"/>
    </row>
    <row r="57" spans="1:10" x14ac:dyDescent="0.25">
      <c r="A57" s="284" t="s">
        <v>133</v>
      </c>
      <c r="B57" s="453" t="s">
        <v>142</v>
      </c>
      <c r="C57" s="445"/>
      <c r="E57" s="469"/>
      <c r="F57" s="470"/>
      <c r="G57" s="470"/>
      <c r="H57" s="470"/>
      <c r="I57" s="470"/>
      <c r="J57" s="471"/>
    </row>
    <row r="58" spans="1:10" x14ac:dyDescent="0.25">
      <c r="A58" s="284" t="s">
        <v>134</v>
      </c>
      <c r="B58" s="453" t="s">
        <v>103</v>
      </c>
      <c r="C58" s="445"/>
      <c r="E58" s="469"/>
      <c r="F58" s="470"/>
      <c r="G58" s="470"/>
      <c r="H58" s="470"/>
      <c r="I58" s="470"/>
      <c r="J58" s="471"/>
    </row>
    <row r="59" spans="1:10" ht="15.75" thickBot="1" x14ac:dyDescent="0.3">
      <c r="A59" s="286" t="s">
        <v>137</v>
      </c>
      <c r="B59" s="455" t="s">
        <v>142</v>
      </c>
      <c r="C59" s="450"/>
      <c r="E59" s="472"/>
      <c r="F59" s="473"/>
      <c r="G59" s="473"/>
      <c r="H59" s="473"/>
      <c r="I59" s="473"/>
      <c r="J59" s="474"/>
    </row>
  </sheetData>
  <sheetProtection algorithmName="SHA-512" hashValue="/QOX/b1WQpHkvNo+FHarLc5jk0EuqWswgdpMwjhKeEt1BXzmUK4TB4tTO/BH8BZUfPT3l8czzEioPTLXYhq3zQ==" saltValue="CxeUluGHwCZT3dCNpA4hZA==" spinCount="100000" sheet="1" objects="1" scenarios="1" selectLockedCells="1" sort="0" autoFilter="0"/>
  <mergeCells count="67">
    <mergeCell ref="F24:G24"/>
    <mergeCell ref="F23:G23"/>
    <mergeCell ref="F22:G22"/>
    <mergeCell ref="F21:G21"/>
    <mergeCell ref="E31:J31"/>
    <mergeCell ref="E26:J26"/>
    <mergeCell ref="B42:C42"/>
    <mergeCell ref="B48:C48"/>
    <mergeCell ref="B47:C47"/>
    <mergeCell ref="B46:C46"/>
    <mergeCell ref="B45:C45"/>
    <mergeCell ref="B44:C44"/>
    <mergeCell ref="B43:C43"/>
    <mergeCell ref="B55:C55"/>
    <mergeCell ref="B56:C56"/>
    <mergeCell ref="B57:C57"/>
    <mergeCell ref="B58:C58"/>
    <mergeCell ref="E27:J29"/>
    <mergeCell ref="E32:J59"/>
    <mergeCell ref="B59:C59"/>
    <mergeCell ref="A50:C50"/>
    <mergeCell ref="B51:C51"/>
    <mergeCell ref="B52:C52"/>
    <mergeCell ref="B53:C53"/>
    <mergeCell ref="B54:C54"/>
    <mergeCell ref="B41:C41"/>
    <mergeCell ref="B31:C31"/>
    <mergeCell ref="B32:C32"/>
    <mergeCell ref="B33:C33"/>
    <mergeCell ref="B40:C40"/>
    <mergeCell ref="A26:C26"/>
    <mergeCell ref="B27:C27"/>
    <mergeCell ref="B28:C28"/>
    <mergeCell ref="B29:C29"/>
    <mergeCell ref="B30:C30"/>
    <mergeCell ref="A35:C35"/>
    <mergeCell ref="B36:C36"/>
    <mergeCell ref="B37:C37"/>
    <mergeCell ref="B38:C38"/>
    <mergeCell ref="B39:C39"/>
    <mergeCell ref="B24:C24"/>
    <mergeCell ref="B23:C23"/>
    <mergeCell ref="B22:C22"/>
    <mergeCell ref="B21:C21"/>
    <mergeCell ref="B20:C20"/>
    <mergeCell ref="E20:G20"/>
    <mergeCell ref="B5:C5"/>
    <mergeCell ref="B4:C4"/>
    <mergeCell ref="B3:C3"/>
    <mergeCell ref="B15:C15"/>
    <mergeCell ref="A17:C17"/>
    <mergeCell ref="B19:C19"/>
    <mergeCell ref="B18:C18"/>
    <mergeCell ref="B14:C14"/>
    <mergeCell ref="B13:C13"/>
    <mergeCell ref="B12:C12"/>
    <mergeCell ref="B11:C11"/>
    <mergeCell ref="B10:C10"/>
    <mergeCell ref="H11:I11"/>
    <mergeCell ref="B2:C2"/>
    <mergeCell ref="E1:J1"/>
    <mergeCell ref="E11:F11"/>
    <mergeCell ref="A1:C1"/>
    <mergeCell ref="B9:C9"/>
    <mergeCell ref="B8:C8"/>
    <mergeCell ref="B7:C7"/>
    <mergeCell ref="B6:C6"/>
  </mergeCells>
  <dataValidations count="1">
    <dataValidation type="list" allowBlank="1" showInputMessage="1" showErrorMessage="1" sqref="B20:C20 B22:C22 B24:C24 B29:C29 B31:C31 B33:C33 B38:C38 B40:C40 B42:C42 B44:C44 B46:C46 B48:C48 B53:C53 B55:C55 B57:C57 B59:C59">
      <formula1>"RankList01, RankList02, RankList03, RankList04, RankList05, RankList06"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ngPass">
              <controlPr defaultSize="0" print="0" autoFill="0" autoPict="0" macro="[0]!Change_Password">
                <anchor moveWithCells="1" sizeWithCells="1">
                  <from>
                    <xdr:col>11</xdr:col>
                    <xdr:colOff>9525</xdr:colOff>
                    <xdr:row>2</xdr:row>
                    <xdr:rowOff>152400</xdr:rowOff>
                  </from>
                  <to>
                    <xdr:col>12</xdr:col>
                    <xdr:colOff>0</xdr:colOff>
                    <xdr:row>5</xdr:row>
                    <xdr:rowOff>0</xdr:rowOff>
                  </to>
                </anchor>
              </controlPr>
            </control>
          </mc:Choice>
        </mc:AlternateContent>
        <mc:AlternateContent xmlns:mc="http://schemas.openxmlformats.org/markup-compatibility/2006">
          <mc:Choice Requires="x14">
            <control shapeId="3074" r:id="rId5" name="ExtDevMd">
              <controlPr defaultSize="0" print="0" autoFill="0" autoPict="0" macro="[0]!Toggle_DevMode">
                <anchor moveWithCells="1" sizeWithCells="1">
                  <from>
                    <xdr:col>8</xdr:col>
                    <xdr:colOff>114300</xdr:colOff>
                    <xdr:row>20</xdr:row>
                    <xdr:rowOff>76200</xdr:rowOff>
                  </from>
                  <to>
                    <xdr:col>8</xdr:col>
                    <xdr:colOff>742950</xdr:colOff>
                    <xdr:row>22</xdr:row>
                    <xdr:rowOff>123825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Welcome</vt:lpstr>
      <vt:lpstr>End</vt:lpstr>
      <vt:lpstr>MASTER!Print_Area</vt:lpstr>
      <vt:lpstr>Sheet2!Print_Area</vt:lpstr>
      <vt:lpstr>Sheet3!Print_Area</vt:lpstr>
      <vt:lpstr>Sheet4!Print_Area</vt:lpstr>
      <vt:lpstr>Sheet5!Print_Area</vt:lpstr>
      <vt:lpstr>Summary!Print_Area</vt:lpstr>
      <vt:lpstr>Start</vt:lpstr>
    </vt:vector>
  </TitlesOfParts>
  <Company>USMC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dcterms:created xsi:type="dcterms:W3CDTF">2019-10-23T16:55:41Z</dcterms:created>
  <dcterms:modified xsi:type="dcterms:W3CDTF">2021-03-24T23:52:46Z</dcterms:modified>
</cp:coreProperties>
</file>