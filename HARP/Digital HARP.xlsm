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85.xml" ContentType="application/vnd.ms-excel.controlproperties+xml"/>
  <Override PartName="/xl/ctrlProps/ctrlProp8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canet\home\19yh8fx2\My Documents\Excel\HARP\"/>
    </mc:Choice>
  </mc:AlternateContent>
  <workbookProtection workbookAlgorithmName="SHA-512" workbookHashValue="CD0WIbc1orURqYGg0mUo7lvYF63JL4slSmYpUm5JJytpJiLktqjX4Zvt7kl3uOsO3kM5/DQcIOpVacR/FX0m5w==" workbookSaltValue="rO3jC4jB+TUvYCkKfUp8Bg==" workbookSpinCount="100000" lockStructure="1"/>
  <bookViews>
    <workbookView xWindow="0" yWindow="0" windowWidth="19200" windowHeight="11595"/>
  </bookViews>
  <sheets>
    <sheet name="Welcome" sheetId="5" r:id="rId1"/>
    <sheet name="Risk Mitigation Form" sheetId="1" state="veryHidden" r:id="rId2"/>
    <sheet name="Travel Plan" sheetId="4" state="veryHidden" r:id="rId3"/>
    <sheet name="DevMode" sheetId="2" state="veryHidden" r:id="rId4"/>
  </sheets>
  <functionGroups builtInGroupCount="18"/>
  <definedNames>
    <definedName name="Alpha_Section">DevMode!#REF!</definedName>
    <definedName name="Bravo_Section">DevMode!#REF!</definedName>
    <definedName name="Charlie_Section">DevMode!#REF!</definedName>
    <definedName name="Companies">DevMode!$D$2:INDEX(DevMode!$D$2:$D$10,SUMPRODUCT(--(DevMode!$D$2:$D$10&lt;&gt;"")))</definedName>
    <definedName name="Company">DevMode!$D$2:$D$8</definedName>
    <definedName name="Delta_Section">DevMode!#REF!</definedName>
    <definedName name="DepDD_Sections">INDEX(DynDD_Companies,1,1):INDEX(DynDD_Companies,COUNTA(DynDD_Companies),1)</definedName>
    <definedName name="Duties">DevMode!$B$2:$B$12</definedName>
    <definedName name="DynDD_Companies">INDEX(CSLT[],0,MATCH('Risk Mitigation Form'!$J$4,CSLT[#Headers],0))</definedName>
    <definedName name="GS_Section">DevMode!#REF!</definedName>
    <definedName name="HQ_Section">DevMode!#REF!</definedName>
    <definedName name="Justification_of_Request">DevMode!$C$24:$C$28</definedName>
    <definedName name="Mode_of_Travel">DevMode!$C$2:$C$7</definedName>
    <definedName name="Nature_of_Request">DevMode!$C$13:$C$16</definedName>
    <definedName name="Rank">DevMode!$A$2:$A$27</definedName>
    <definedName name="Service_Section">DevMode!#REF!</definedName>
    <definedName name="State">DevMode!$A$53:$A$102</definedName>
    <definedName name="State_Abbreviation">DevMode!$B$53:$B$102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 i="4" l="1"/>
  <c r="D7" i="2"/>
  <c r="D8" i="2"/>
  <c r="D9" i="2"/>
  <c r="D10" i="2"/>
  <c r="D6" i="2"/>
  <c r="D5" i="2"/>
  <c r="D4" i="2"/>
  <c r="D3" i="2"/>
  <c r="D2" i="2"/>
  <c r="B19" i="4" l="1"/>
  <c r="S7" i="1" l="1"/>
  <c r="C15" i="4" l="1"/>
  <c r="C13" i="4"/>
  <c r="L9" i="4" l="1"/>
  <c r="I9" i="4"/>
  <c r="F9" i="4"/>
  <c r="A41" i="1" l="1"/>
  <c r="B41" i="1"/>
  <c r="J38" i="4" l="1"/>
  <c r="G15" i="4"/>
  <c r="C9" i="4"/>
  <c r="N42" i="1" l="1"/>
  <c r="M42" i="1"/>
  <c r="J42" i="1"/>
  <c r="I42" i="1"/>
  <c r="F42" i="1"/>
  <c r="P42" i="1"/>
  <c r="O42" i="1"/>
  <c r="L42" i="1"/>
  <c r="K42" i="1"/>
  <c r="H42" i="1"/>
  <c r="G42" i="1"/>
  <c r="E42" i="1"/>
  <c r="D42" i="1"/>
  <c r="C42" i="1"/>
  <c r="B42" i="1"/>
  <c r="A42" i="1"/>
  <c r="Q42" i="1" l="1"/>
  <c r="L29" i="1" s="1"/>
  <c r="T42" i="1"/>
  <c r="A43" i="1"/>
  <c r="A33" i="1"/>
</calcChain>
</file>

<file path=xl/comments1.xml><?xml version="1.0" encoding="utf-8"?>
<comments xmlns="http://schemas.openxmlformats.org/spreadsheetml/2006/main">
  <authors>
    <author>Jeffreys, Duncan</author>
  </authors>
  <commentList>
    <comment ref="A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<sst xmlns="http://schemas.openxmlformats.org/spreadsheetml/2006/main" count="409" uniqueCount="333">
  <si>
    <t xml:space="preserve">LEAVE AND LIBERTY RISK MITIGATION FORM </t>
  </si>
  <si>
    <t>Rank</t>
  </si>
  <si>
    <t>EDIPI</t>
  </si>
  <si>
    <t>Company</t>
  </si>
  <si>
    <t>Section</t>
  </si>
  <si>
    <t>HQ</t>
  </si>
  <si>
    <t>S-3 IT</t>
  </si>
  <si>
    <t>Telephone Number</t>
  </si>
  <si>
    <t>Drivers License</t>
  </si>
  <si>
    <t>Auto Insurance</t>
  </si>
  <si>
    <t>State</t>
  </si>
  <si>
    <t>Headlights</t>
  </si>
  <si>
    <t>Spare / Jack</t>
  </si>
  <si>
    <t>Tail Lights</t>
  </si>
  <si>
    <t>Turn Signals</t>
  </si>
  <si>
    <t>Brake Light</t>
  </si>
  <si>
    <t>Reveres Light</t>
  </si>
  <si>
    <t>Side Mirrors</t>
  </si>
  <si>
    <t>Rear mirror</t>
  </si>
  <si>
    <t>Horn</t>
  </si>
  <si>
    <t>Seatbelts</t>
  </si>
  <si>
    <t>Tires</t>
  </si>
  <si>
    <t>Windshield Wipers</t>
  </si>
  <si>
    <t>Title</t>
  </si>
  <si>
    <t>Signature</t>
  </si>
  <si>
    <t>Date</t>
  </si>
  <si>
    <t>Does SNM have driver improvement card?</t>
  </si>
  <si>
    <t>SNCOIC</t>
  </si>
  <si>
    <t>Has SNM been encouraged to get plenty of rest?</t>
  </si>
  <si>
    <t>OIC</t>
  </si>
  <si>
    <t>Does SNM have recall rosters?</t>
  </si>
  <si>
    <t>Is SNM pending any Legal action?</t>
  </si>
  <si>
    <t>1stSgt</t>
  </si>
  <si>
    <t>Company Commander</t>
  </si>
  <si>
    <t>IF DENIED BY COMPANY COMMANDER:</t>
  </si>
  <si>
    <t>Commanding Officer</t>
  </si>
  <si>
    <t>Mode of Travel</t>
  </si>
  <si>
    <t>Nature of Request</t>
  </si>
  <si>
    <t xml:space="preserve"> 8TH COMMUNICATION BATTALION</t>
  </si>
  <si>
    <t>RANK:</t>
  </si>
  <si>
    <t>LAST:</t>
  </si>
  <si>
    <t>FIRST:</t>
  </si>
  <si>
    <t>MI:</t>
  </si>
  <si>
    <t xml:space="preserve">REQUESTED DATES </t>
  </si>
  <si>
    <t>FROM:</t>
  </si>
  <si>
    <t>TO:</t>
  </si>
  <si>
    <t>TRAVEL PLAN:</t>
  </si>
  <si>
    <t>DATE:</t>
  </si>
  <si>
    <t>Airplane</t>
  </si>
  <si>
    <t>Bus</t>
  </si>
  <si>
    <t>Car</t>
  </si>
  <si>
    <t>Motorcycle</t>
  </si>
  <si>
    <t>Train</t>
  </si>
  <si>
    <t>N/A</t>
  </si>
  <si>
    <t>Leave</t>
  </si>
  <si>
    <t>Special Liberty</t>
  </si>
  <si>
    <t>Out of Bounds</t>
  </si>
  <si>
    <t>Other</t>
  </si>
  <si>
    <t>Leave Address (Street, City, St, Zip)</t>
  </si>
  <si>
    <t># of Days</t>
  </si>
  <si>
    <t>Justification of Request</t>
  </si>
  <si>
    <t>Leave Balance</t>
  </si>
  <si>
    <t>Distance (One Way)</t>
  </si>
  <si>
    <t>License Plate</t>
  </si>
  <si>
    <t>Vehicle Year, Make, &amp; Model</t>
  </si>
  <si>
    <t xml:space="preserve">Registration Exp Date: </t>
  </si>
  <si>
    <t xml:space="preserve">Inspection Exp Date: </t>
  </si>
  <si>
    <t>Name of Operator (If different from SNM)</t>
  </si>
  <si>
    <t>Relation to SNM</t>
  </si>
  <si>
    <t># of Passengers</t>
  </si>
  <si>
    <t>State:</t>
  </si>
  <si>
    <t>Number:</t>
  </si>
  <si>
    <t>Co. Name:</t>
  </si>
  <si>
    <t>Exp. Date:</t>
  </si>
  <si>
    <t>Pass</t>
  </si>
  <si>
    <t>Fail</t>
  </si>
  <si>
    <t>Item</t>
  </si>
  <si>
    <t>Brakes</t>
  </si>
  <si>
    <t>License Plate Light</t>
  </si>
  <si>
    <t>Emergency Flashers</t>
  </si>
  <si>
    <t>Emergency Brake</t>
  </si>
  <si>
    <t>Car Seat (For Child)</t>
  </si>
  <si>
    <t>Fluids (Oil, Gas, etc.)</t>
  </si>
  <si>
    <t>Marine is not married.</t>
  </si>
  <si>
    <t>Marine has returned from a 30 day deployment within the last 30 days.</t>
  </si>
  <si>
    <t>Marine has experienced personal stressors (marital change, financial troubles, death in family, etc.) recently.</t>
  </si>
  <si>
    <t>Marine has had an alcohol related incident within the past 12 months.</t>
  </si>
  <si>
    <t xml:space="preserve">Does SNM drive a high performance vehicle? </t>
  </si>
  <si>
    <t>SNM is Dental Class</t>
  </si>
  <si>
    <t>Does SNM have any Medical or Dental appointments during the dates requested?</t>
  </si>
  <si>
    <t>RISK FACTORS AND ASSESSMENT</t>
  </si>
  <si>
    <t>Based on the assessment questionnaire, this Marines risk level is:</t>
  </si>
  <si>
    <t>Vehicle Information and Inspection Checklist (Vehicle SNM will be traveling in)</t>
  </si>
  <si>
    <t>SAFETY PLEDGE AND STATEMENT OF UNDERSTANDING</t>
  </si>
  <si>
    <t>, recognize the contribution I make to my fellow Marines, Sailors and Civilian Marines, my brothers and sisters throughout the Marine Corps, and the world. I realize that I am essential to our mission and its success, and I pledge to maintain my commitment with a constant display of honor and professionalism. I will remain committed to wearing my seatbelt at all times while operating a motor vehicle, and when riding as a passenger. I will be sure to wear all proper PPE and get the proper training before riding any recreational vehicles. I fully understand the zero tolerance policy of the Marine Corps pertaining to drugs, and fully acknowledge my commitment not to drive while under the influence. If I choose to do either of these I will be held accountable for my actions and will be punished under the UCMJ. I will plan ahead, minimize any risks to my safety as well as others, and return physically and mentally prepared to continue “the fight.”</t>
  </si>
  <si>
    <t>Sgt</t>
  </si>
  <si>
    <t>Pvt</t>
  </si>
  <si>
    <t>PFC</t>
  </si>
  <si>
    <t>LCpl</t>
  </si>
  <si>
    <t>Cpl</t>
  </si>
  <si>
    <t>SSgt</t>
  </si>
  <si>
    <t>GySgt</t>
  </si>
  <si>
    <t>MSgt</t>
  </si>
  <si>
    <t>MGySgt</t>
  </si>
  <si>
    <t>SgtMaj</t>
  </si>
  <si>
    <t>WO1</t>
  </si>
  <si>
    <t>CWO2</t>
  </si>
  <si>
    <t>CWO3</t>
  </si>
  <si>
    <t>CWO4</t>
  </si>
  <si>
    <t>CWO5</t>
  </si>
  <si>
    <t>2ndLt</t>
  </si>
  <si>
    <t>1stLt</t>
  </si>
  <si>
    <t>Capt</t>
  </si>
  <si>
    <t>Maj</t>
  </si>
  <si>
    <t>LtCol</t>
  </si>
  <si>
    <t>Col</t>
  </si>
  <si>
    <t>BGen</t>
  </si>
  <si>
    <t>MajGen</t>
  </si>
  <si>
    <t>LtGen</t>
  </si>
  <si>
    <t>Gen</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</si>
  <si>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</si>
  <si>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</si>
  <si>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</si>
  <si>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</si>
  <si>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</si>
  <si>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</si>
  <si>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</si>
  <si>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</si>
  <si>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</si>
  <si>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</si>
  <si>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</si>
  <si>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</si>
  <si>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</si>
  <si>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</si>
  <si>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</si>
  <si>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</si>
  <si>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</si>
  <si>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</si>
  <si>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</si>
  <si>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</si>
  <si>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</si>
  <si>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</si>
  <si>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</si>
  <si>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</si>
  <si>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</si>
  <si>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</si>
  <si>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</si>
  <si>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</si>
  <si>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</si>
  <si>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</si>
  <si>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</si>
  <si>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</si>
  <si>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</si>
  <si>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</si>
  <si>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</si>
  <si>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</si>
  <si>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</si>
  <si>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</si>
  <si>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</si>
  <si>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</si>
  <si>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</si>
  <si>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</si>
  <si>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</si>
  <si>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</si>
  <si>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</si>
  <si>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</si>
  <si>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</si>
  <si>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</si>
  <si>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</si>
  <si>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</si>
  <si>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State Abbreviation</t>
  </si>
  <si>
    <t xml:space="preserve">AL </t>
  </si>
  <si>
    <t xml:space="preserve">AK </t>
  </si>
  <si>
    <t xml:space="preserve">AZ </t>
  </si>
  <si>
    <t xml:space="preserve">AR </t>
  </si>
  <si>
    <t xml:space="preserve">CA </t>
  </si>
  <si>
    <t xml:space="preserve">CO </t>
  </si>
  <si>
    <t xml:space="preserve">CT </t>
  </si>
  <si>
    <t xml:space="preserve">DE </t>
  </si>
  <si>
    <t xml:space="preserve">FL </t>
  </si>
  <si>
    <t xml:space="preserve">GA </t>
  </si>
  <si>
    <t xml:space="preserve">HI </t>
  </si>
  <si>
    <t xml:space="preserve">ID </t>
  </si>
  <si>
    <t xml:space="preserve">IL </t>
  </si>
  <si>
    <t xml:space="preserve">IN </t>
  </si>
  <si>
    <t xml:space="preserve">IA </t>
  </si>
  <si>
    <t xml:space="preserve">KS </t>
  </si>
  <si>
    <t xml:space="preserve">KY </t>
  </si>
  <si>
    <t xml:space="preserve">LA </t>
  </si>
  <si>
    <t xml:space="preserve">ME </t>
  </si>
  <si>
    <t xml:space="preserve">MD </t>
  </si>
  <si>
    <t xml:space="preserve">MA </t>
  </si>
  <si>
    <t xml:space="preserve">MI </t>
  </si>
  <si>
    <t xml:space="preserve">MN </t>
  </si>
  <si>
    <t xml:space="preserve">MS </t>
  </si>
  <si>
    <t xml:space="preserve">MO </t>
  </si>
  <si>
    <t xml:space="preserve">MT </t>
  </si>
  <si>
    <t xml:space="preserve">NE </t>
  </si>
  <si>
    <t xml:space="preserve">NV </t>
  </si>
  <si>
    <t xml:space="preserve">NH </t>
  </si>
  <si>
    <t xml:space="preserve">NJ </t>
  </si>
  <si>
    <t xml:space="preserve">NM </t>
  </si>
  <si>
    <t xml:space="preserve">NY </t>
  </si>
  <si>
    <t xml:space="preserve">NC </t>
  </si>
  <si>
    <t xml:space="preserve">ND </t>
  </si>
  <si>
    <t xml:space="preserve">OH </t>
  </si>
  <si>
    <t xml:space="preserve">OK </t>
  </si>
  <si>
    <t xml:space="preserve">OR </t>
  </si>
  <si>
    <t xml:space="preserve">PA </t>
  </si>
  <si>
    <t xml:space="preserve">RI </t>
  </si>
  <si>
    <t xml:space="preserve">SC </t>
  </si>
  <si>
    <t xml:space="preserve">SD </t>
  </si>
  <si>
    <t xml:space="preserve">TN </t>
  </si>
  <si>
    <t xml:space="preserve">TX </t>
  </si>
  <si>
    <t xml:space="preserve">UT </t>
  </si>
  <si>
    <t xml:space="preserve">VT </t>
  </si>
  <si>
    <t xml:space="preserve">VA </t>
  </si>
  <si>
    <t xml:space="preserve">WA </t>
  </si>
  <si>
    <t xml:space="preserve">WV </t>
  </si>
  <si>
    <t xml:space="preserve">WI </t>
  </si>
  <si>
    <t xml:space="preserve">WY </t>
  </si>
  <si>
    <t>Miles</t>
  </si>
  <si>
    <t>Personal Time Off</t>
  </si>
  <si>
    <t>Emergency Leave</t>
  </si>
  <si>
    <t>Motorcycle Information and Inspection Checklist (Motorcycle SNM will be traveling on)</t>
  </si>
  <si>
    <t>Motorcycle Year, Make, &amp; Model</t>
  </si>
  <si>
    <t>Requested travel days are more than 25% of Lv/Libo days.</t>
  </si>
  <si>
    <t>Marine will be driving alone.</t>
  </si>
  <si>
    <t>Marine plans to travel via motorcycle.</t>
  </si>
  <si>
    <t>Marine is under 26 years old.</t>
  </si>
  <si>
    <t xml:space="preserve">Marine will be driving 100-500 miles one way. </t>
  </si>
  <si>
    <t xml:space="preserve">Marine will be driving 501-1,000 miles one way. </t>
  </si>
  <si>
    <t xml:space="preserve">Marine will be driving more than 1,000 miles one way. </t>
  </si>
  <si>
    <t>Marine will be driving between 2200 &amp; 0600</t>
  </si>
  <si>
    <t>Request Date (yyyymmdd)</t>
  </si>
  <si>
    <t>S-1</t>
  </si>
  <si>
    <t>S-2</t>
  </si>
  <si>
    <t>S-3</t>
  </si>
  <si>
    <t>S-4</t>
  </si>
  <si>
    <t>GS</t>
  </si>
  <si>
    <t>Alpha</t>
  </si>
  <si>
    <t>Bravo</t>
  </si>
  <si>
    <t>Charlie</t>
  </si>
  <si>
    <t>Service</t>
  </si>
  <si>
    <t>Delta</t>
  </si>
  <si>
    <t>1st Plt</t>
  </si>
  <si>
    <t>2nd Plt</t>
  </si>
  <si>
    <t>3rd Plt</t>
  </si>
  <si>
    <t>Co. Office</t>
  </si>
  <si>
    <t>OPS</t>
  </si>
  <si>
    <t>Cyber</t>
  </si>
  <si>
    <t>Radio</t>
  </si>
  <si>
    <t>R2C2</t>
  </si>
  <si>
    <t>CCSP</t>
  </si>
  <si>
    <t>Systems</t>
  </si>
  <si>
    <t>Trans.</t>
  </si>
  <si>
    <t>Networking</t>
  </si>
  <si>
    <t>EM</t>
  </si>
  <si>
    <t>Engineer Plt.</t>
  </si>
  <si>
    <t>MT Ops</t>
  </si>
  <si>
    <t>MT Maint.</t>
  </si>
  <si>
    <t>SACO</t>
  </si>
  <si>
    <t>MFLAC/FRO</t>
  </si>
  <si>
    <t>Chaplin</t>
  </si>
  <si>
    <t>S-3 Train.</t>
  </si>
  <si>
    <t>S-3 Ops</t>
  </si>
  <si>
    <t>Ops</t>
  </si>
  <si>
    <t>SPE</t>
  </si>
  <si>
    <t>Career Planner</t>
  </si>
  <si>
    <t>, have confirmed that the above named Marine has an acceptable plan for their time off and fully understands the valuable contribution they, as well as every Marine, makes to our nation. I am confident that SNM will take the necessary steps to minimize risks and bring honor to our Corps and country while enjoying this well-deserved break from the daily routine. I recommend approval.</t>
  </si>
  <si>
    <t>Does SNM have Duty during requested time off?</t>
  </si>
  <si>
    <t>Marine has had a traffic violation in the past 12 months.</t>
  </si>
  <si>
    <t>Marine will have less than 8 Hrs. of rest prior to departure.</t>
  </si>
  <si>
    <t>Marine will have less than 12 Hrs. between return and beginning Duty.</t>
  </si>
  <si>
    <t>From</t>
  </si>
  <si>
    <t>To</t>
  </si>
  <si>
    <t>Time</t>
  </si>
  <si>
    <t>Holiday Break (72)</t>
  </si>
  <si>
    <t>Holiday Break (96)</t>
  </si>
  <si>
    <t>Remarks:</t>
  </si>
  <si>
    <t>Marine Requesting (Last, First M.)</t>
  </si>
  <si>
    <t>Req. Marine's Supervisor (Last, First M.)</t>
  </si>
  <si>
    <t>Marine will be traveling during a holiday period.</t>
  </si>
  <si>
    <t>Recommendation</t>
  </si>
  <si>
    <t>Sign HARP</t>
  </si>
  <si>
    <t>LOCATION INFORMATION</t>
  </si>
  <si>
    <t/>
  </si>
  <si>
    <t>Date of Duty (yyyymmdd)</t>
  </si>
  <si>
    <t>Marine Taking Duty (Rank Last, First, M.)</t>
  </si>
  <si>
    <t>Type of Duty</t>
  </si>
  <si>
    <t>None</t>
  </si>
  <si>
    <t>For ease of use, the Supervisor or POV Inspector can use the button below to mark the vehicle as passing on all items.</t>
  </si>
  <si>
    <t>Types of Duty</t>
  </si>
  <si>
    <t>OOD</t>
  </si>
  <si>
    <t>AOOD</t>
  </si>
  <si>
    <t>Duty Driver</t>
  </si>
  <si>
    <t>CDO</t>
  </si>
  <si>
    <t>DNCO</t>
  </si>
  <si>
    <t>ADNCO</t>
  </si>
  <si>
    <t>Rover/Firewatch</t>
  </si>
  <si>
    <t>ACDO</t>
  </si>
  <si>
    <t>Armory Duty</t>
  </si>
  <si>
    <t>DWD</t>
  </si>
  <si>
    <t>Signature:</t>
  </si>
  <si>
    <t>Date:</t>
  </si>
  <si>
    <t>Figure 1</t>
  </si>
  <si>
    <t>Figure 2</t>
  </si>
  <si>
    <t>Figure 3</t>
  </si>
  <si>
    <t>Figure 4</t>
  </si>
  <si>
    <t>S-3 MTC</t>
  </si>
  <si>
    <t>S-4 MMO</t>
  </si>
  <si>
    <t>S-4 Supply</t>
  </si>
  <si>
    <t>The "Req. Marine's Supervisor" spot, and the POV checklist will remain unlocked and available for editing until one of the signature blocks is signed.</t>
  </si>
  <si>
    <t>S-3 TIE</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</si>
  <si>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</si>
  <si>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To check for updates, report an issue, or make a request/suggestion, contact me at</t>
  </si>
  <si>
    <t>Website:</t>
  </si>
  <si>
    <t>https://github.com/JeffreysDA</t>
  </si>
  <si>
    <t>Contact:</t>
  </si>
  <si>
    <t>jeffreysda@gmail.com</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</si>
  <si>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</si>
  <si>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</si>
  <si>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</si>
  <si>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Password</t>
  </si>
  <si>
    <t>Version:
Digital 1.4</t>
  </si>
  <si>
    <t>Rank List</t>
  </si>
  <si>
    <t>Companys and Sections</t>
  </si>
  <si>
    <t>Column1</t>
  </si>
  <si>
    <t>Column2</t>
  </si>
  <si>
    <t>H@6pF06m</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</si>
  <si>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</si>
  <si>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Travel Plan Header</t>
  </si>
  <si>
    <t>Change "Travel Plan" Insignia 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</si>
</sst>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1" formatCode="_(* #,##0_);_(* \(#,##0\);_(* &quot;-&quot;_);_(@_)"/>
    <numFmt numFmtId="164" formatCode="[&lt;=9999999]###\-####;\(###\)\ ###\-####"/>
    <numFmt numFmtId="165" formatCode="[$-409]mmm\-yyyy;@"/>
    <numFmt numFmtId="166" formatCode=";;;"/>
  </numFmts>
  <fonts count="37" x14ac:knownFonts="1">
    <font>
      <sz val="11"/>
      <color theme="1"/>
      <name val="Calibri"/>
      <family val="2"/>
      <scheme val="minor"/>
    </font>
    <font>
      <b/>
      <sz val="11"/>
      <color theme="1"/>
      <name val="Calibri"/>
      <family val="2"/>
      <scheme val="minor"/>
    </font>
    <font>
      <b/>
      <sz val="12"/>
      <name val="Arial"/>
      <family val="2"/>
    </font>
    <font>
      <b/>
      <sz val="9"/>
      <name val="Arial"/>
      <family val="2"/>
    </font>
    <font>
      <b/>
      <sz val="8"/>
      <name val="Arial"/>
      <family val="2"/>
    </font>
    <font>
      <sz val="10"/>
      <name val="Arial"/>
      <family val="2"/>
    </font>
    <font>
      <b/>
      <sz val="10"/>
      <name val="Arial"/>
      <family val="2"/>
    </font>
    <font>
      <b/>
      <sz val="18"/>
      <color theme="1"/>
      <name val="Times New Roman"/>
      <family val="1"/>
    </font>
    <font>
      <b/>
      <u/>
      <sz val="11"/>
      <color theme="1"/>
      <name val="Calibri"/>
      <family val="2"/>
      <scheme val="minor"/>
    </font>
    <font>
      <u/>
      <sz val="11"/>
      <color theme="1"/>
      <name val="Calibri"/>
      <family val="2"/>
      <scheme val="minor"/>
    </font>
    <font>
      <sz val="12"/>
      <color theme="1"/>
      <name val="Times New Roman"/>
      <family val="1"/>
    </font>
    <font>
      <b/>
      <u/>
      <sz val="12"/>
      <color theme="1"/>
      <name val="Times New Roman"/>
      <family val="1"/>
    </font>
    <font>
      <sz val="11"/>
      <color theme="1"/>
      <name val="Times New Roman"/>
      <family val="1"/>
    </font>
    <font>
      <sz val="20"/>
      <color theme="1"/>
      <name val="Times New Roman"/>
      <family val="1"/>
    </font>
    <font>
      <u/>
      <sz val="20"/>
      <color theme="1"/>
      <name val="Times New Roman"/>
      <family val="1"/>
    </font>
    <font>
      <sz val="10"/>
      <color theme="1"/>
      <name val="Times New Roman"/>
      <family val="1"/>
    </font>
    <font>
      <b/>
      <sz val="24"/>
      <name val="Arial"/>
      <family val="2"/>
    </font>
    <font>
      <sz val="10"/>
      <color theme="0" tint="-4.9989318521683403E-2"/>
      <name val="Arial"/>
      <family val="2"/>
    </font>
    <font>
      <sz val="10"/>
      <color theme="0"/>
      <name val="Arial"/>
      <family val="2"/>
    </font>
    <font>
      <b/>
      <sz val="8"/>
      <color theme="0" tint="-4.9989318521683403E-2"/>
      <name val="Arial"/>
      <family val="2"/>
    </font>
    <font>
      <sz val="10"/>
      <color theme="1"/>
      <name val="Arial"/>
      <family val="2"/>
    </font>
    <font>
      <sz val="11"/>
      <color rgb="FF000000"/>
      <name val="Calibri"/>
      <family val="2"/>
    </font>
    <font>
      <sz val="11"/>
      <color theme="1"/>
      <name val="Calibri"/>
      <family val="2"/>
      <scheme val="minor"/>
    </font>
    <font>
      <sz val="8"/>
      <color rgb="FF000000"/>
      <name val="Segoe UI"/>
      <family val="2"/>
    </font>
    <font>
      <b/>
      <sz val="8"/>
      <color theme="0" tint="-0.499984740745262"/>
      <name val="Arial"/>
      <family val="2"/>
    </font>
    <font>
      <b/>
      <sz val="11"/>
      <color rgb="FFFF0000"/>
      <name val="Calibri"/>
      <family val="2"/>
      <scheme val="minor"/>
    </font>
    <font>
      <i/>
      <sz val="11"/>
      <color theme="1"/>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0"/>
      <color theme="1"/>
      <name val="Calibri"/>
      <family val="2"/>
      <scheme val="minor"/>
    </font>
    <font>
      <b/>
      <sz val="11"/>
      <color rgb="FF0000FF"/>
      <name val="Calibri"/>
      <family val="2"/>
      <scheme val="minor"/>
    </font>
    <font>
      <b/>
      <sz val="11"/>
      <color rgb="FFC00000"/>
      <name val="Calibri"/>
      <family val="2"/>
      <scheme val="minor"/>
    </font>
    <font>
      <sz val="9"/>
      <color indexed="81"/>
      <name val="Tahoma"/>
      <family val="2"/>
    </font>
    <font>
      <b/>
      <sz val="9"/>
      <color indexed="81"/>
      <name val="Tahoma"/>
      <family val="2"/>
    </font>
    <font>
      <b/>
      <sz val="11"/>
      <name val="Calibri"/>
      <family val="2"/>
      <scheme val="minor"/>
    </font>
  </fonts>
  <fills count="15">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FFCC"/>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7" tint="0.39997558519241921"/>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thin">
        <color rgb="FFB2B2B2"/>
      </left>
      <right style="thin">
        <color rgb="FFB2B2B2"/>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rgb="FFB2B2B2"/>
      </left>
      <right style="thin">
        <color rgb="FFB2B2B2"/>
      </right>
      <top style="thin">
        <color rgb="FFB2B2B2"/>
      </top>
      <bottom/>
      <diagonal/>
    </border>
    <border>
      <left style="thin">
        <color indexed="64"/>
      </left>
      <right style="thin">
        <color rgb="FFB2B2B2"/>
      </right>
      <top style="thin">
        <color indexed="64"/>
      </top>
      <bottom style="thin">
        <color rgb="FFB2B2B2"/>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
      <left style="thin">
        <color indexed="64"/>
      </left>
      <right style="thin">
        <color rgb="FFB2B2B2"/>
      </right>
      <top style="thin">
        <color rgb="FFB2B2B2"/>
      </top>
      <bottom style="thin">
        <color rgb="FFB2B2B2"/>
      </bottom>
      <diagonal/>
    </border>
    <border>
      <left style="thin">
        <color rgb="FFB2B2B2"/>
      </left>
      <right style="thin">
        <color indexed="64"/>
      </right>
      <top style="thin">
        <color rgb="FFB2B2B2"/>
      </top>
      <bottom style="thin">
        <color rgb="FFB2B2B2"/>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rgb="FFB2B2B2"/>
      </right>
      <top style="thin">
        <color rgb="FFB2B2B2"/>
      </top>
      <bottom/>
      <diagonal/>
    </border>
    <border>
      <left style="thin">
        <color rgb="FFB2B2B2"/>
      </left>
      <right style="thin">
        <color indexed="64"/>
      </right>
      <top style="thin">
        <color rgb="FFB2B2B2"/>
      </top>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s>
  <cellStyleXfs count="3">
    <xf numFmtId="0" fontId="0" fillId="0" borderId="0"/>
    <xf numFmtId="0" fontId="22" fillId="7" borderId="58" applyNumberFormat="0" applyFont="0" applyAlignment="0" applyProtection="0"/>
    <xf numFmtId="0" fontId="29" fillId="0" borderId="0" applyNumberFormat="0" applyFill="0" applyBorder="0" applyAlignment="0" applyProtection="0"/>
  </cellStyleXfs>
  <cellXfs count="410">
    <xf numFmtId="0" fontId="0" fillId="0" borderId="0" xfId="0"/>
    <xf numFmtId="0" fontId="5" fillId="0" borderId="0" xfId="0" applyFont="1" applyProtection="1"/>
    <xf numFmtId="0" fontId="0" fillId="0" borderId="0" xfId="0" applyProtection="1"/>
    <xf numFmtId="0" fontId="1" fillId="0" borderId="0" xfId="0" applyFont="1" applyAlignment="1" applyProtection="1"/>
    <xf numFmtId="0" fontId="0" fillId="0" borderId="0" xfId="0" applyFont="1" applyProtection="1"/>
    <xf numFmtId="0" fontId="10" fillId="0" borderId="0" xfId="0" applyFont="1" applyAlignment="1" applyProtection="1">
      <alignment vertical="center"/>
    </xf>
    <xf numFmtId="0" fontId="10" fillId="0" borderId="0" xfId="0" applyFont="1" applyAlignment="1" applyProtection="1">
      <alignment horizontal="right" vertical="center"/>
    </xf>
    <xf numFmtId="0" fontId="10" fillId="0" borderId="0" xfId="0" applyFont="1" applyBorder="1" applyAlignment="1" applyProtection="1">
      <alignment horizontal="right" vertical="center"/>
    </xf>
    <xf numFmtId="0" fontId="13" fillId="0" borderId="0" xfId="0" applyFont="1" applyAlignment="1" applyProtection="1">
      <alignment vertical="center"/>
    </xf>
    <xf numFmtId="0" fontId="13" fillId="0" borderId="0" xfId="0" applyFont="1" applyAlignment="1" applyProtection="1">
      <alignment horizontal="center" vertical="center"/>
    </xf>
    <xf numFmtId="0" fontId="14" fillId="0" borderId="0" xfId="0" applyFont="1" applyAlignment="1" applyProtection="1">
      <alignment vertical="center"/>
    </xf>
    <xf numFmtId="0" fontId="15" fillId="0" borderId="0" xfId="0" applyFont="1" applyAlignment="1" applyProtection="1">
      <alignment horizontal="justify" vertical="top"/>
    </xf>
    <xf numFmtId="0" fontId="0" fillId="0" borderId="0" xfId="0" applyAlignment="1" applyProtection="1">
      <alignment vertical="top"/>
    </xf>
    <xf numFmtId="0" fontId="6" fillId="3" borderId="0" xfId="0" applyFont="1" applyFill="1" applyBorder="1" applyProtection="1"/>
    <xf numFmtId="0" fontId="5" fillId="3" borderId="0" xfId="0" applyFont="1" applyFill="1" applyBorder="1" applyProtection="1"/>
    <xf numFmtId="0" fontId="5" fillId="3" borderId="16" xfId="0" applyFont="1" applyFill="1" applyBorder="1" applyProtection="1"/>
    <xf numFmtId="0" fontId="2" fillId="3" borderId="10" xfId="0" applyFont="1" applyFill="1" applyBorder="1" applyAlignment="1" applyProtection="1">
      <alignment vertical="center"/>
    </xf>
    <xf numFmtId="0" fontId="2" fillId="3" borderId="0" xfId="0" applyFont="1" applyFill="1" applyBorder="1" applyAlignment="1" applyProtection="1">
      <alignment vertical="center"/>
    </xf>
    <xf numFmtId="0" fontId="2" fillId="3" borderId="11" xfId="0" applyFont="1" applyFill="1" applyBorder="1" applyAlignment="1" applyProtection="1">
      <alignment vertical="center"/>
    </xf>
    <xf numFmtId="0" fontId="5" fillId="4" borderId="16" xfId="0" applyFont="1" applyFill="1" applyBorder="1" applyAlignment="1" applyProtection="1">
      <alignment vertical="top" wrapText="1"/>
    </xf>
    <xf numFmtId="0" fontId="5" fillId="4" borderId="17" xfId="0" applyFont="1" applyFill="1" applyBorder="1" applyAlignment="1" applyProtection="1">
      <alignment vertical="top" wrapText="1"/>
    </xf>
    <xf numFmtId="0" fontId="5" fillId="4" borderId="15" xfId="0" applyFont="1" applyFill="1" applyBorder="1" applyAlignment="1" applyProtection="1">
      <alignment vertical="top" wrapText="1"/>
    </xf>
    <xf numFmtId="0" fontId="5" fillId="4" borderId="0" xfId="0" applyFont="1" applyFill="1" applyBorder="1" applyAlignment="1" applyProtection="1">
      <alignment vertical="top" wrapText="1"/>
    </xf>
    <xf numFmtId="0" fontId="5" fillId="4" borderId="11" xfId="0" applyFont="1" applyFill="1" applyBorder="1" applyAlignment="1" applyProtection="1">
      <alignment vertical="top" wrapText="1"/>
    </xf>
    <xf numFmtId="0" fontId="18" fillId="4" borderId="0" xfId="0" applyFont="1" applyFill="1" applyBorder="1" applyAlignment="1" applyProtection="1">
      <alignment vertical="top" wrapText="1"/>
    </xf>
    <xf numFmtId="0" fontId="18" fillId="4" borderId="0" xfId="0" applyFont="1" applyFill="1" applyBorder="1" applyProtection="1"/>
    <xf numFmtId="0" fontId="18" fillId="4" borderId="10" xfId="0" applyFont="1" applyFill="1" applyBorder="1" applyAlignment="1" applyProtection="1">
      <alignment vertical="top" wrapText="1"/>
    </xf>
    <xf numFmtId="14" fontId="18" fillId="4" borderId="11" xfId="0" applyNumberFormat="1" applyFont="1" applyFill="1" applyBorder="1" applyProtection="1"/>
    <xf numFmtId="0" fontId="2" fillId="3" borderId="1" xfId="0" applyFont="1" applyFill="1" applyBorder="1" applyAlignment="1" applyProtection="1">
      <alignment vertical="center"/>
    </xf>
    <xf numFmtId="0" fontId="2" fillId="3" borderId="2" xfId="0" applyFont="1" applyFill="1" applyBorder="1" applyAlignment="1" applyProtection="1">
      <alignment vertical="center"/>
    </xf>
    <xf numFmtId="0" fontId="2" fillId="3" borderId="3" xfId="0" applyFont="1" applyFill="1" applyBorder="1" applyAlignment="1" applyProtection="1">
      <alignment vertical="center"/>
    </xf>
    <xf numFmtId="0" fontId="6" fillId="6" borderId="42" xfId="0" applyFont="1" applyFill="1" applyBorder="1" applyAlignment="1" applyProtection="1">
      <alignment vertical="center"/>
    </xf>
    <xf numFmtId="0" fontId="6" fillId="6" borderId="43" xfId="0" applyFont="1" applyFill="1" applyBorder="1" applyAlignment="1" applyProtection="1">
      <alignment vertical="center"/>
    </xf>
    <xf numFmtId="0" fontId="6" fillId="6" borderId="42" xfId="0" applyNumberFormat="1" applyFont="1" applyFill="1" applyBorder="1" applyAlignment="1" applyProtection="1">
      <alignment vertical="center"/>
    </xf>
    <xf numFmtId="0" fontId="6" fillId="6" borderId="43" xfId="0" applyNumberFormat="1" applyFont="1" applyFill="1" applyBorder="1" applyAlignment="1" applyProtection="1">
      <alignment vertical="center"/>
    </xf>
    <xf numFmtId="166" fontId="17" fillId="6" borderId="22" xfId="0" applyNumberFormat="1" applyFont="1" applyFill="1" applyBorder="1" applyProtection="1"/>
    <xf numFmtId="166" fontId="17" fillId="6" borderId="39" xfId="0" applyNumberFormat="1" applyFont="1" applyFill="1" applyBorder="1" applyProtection="1"/>
    <xf numFmtId="166" fontId="17" fillId="6" borderId="33" xfId="0" applyNumberFormat="1" applyFont="1" applyFill="1" applyBorder="1" applyProtection="1"/>
    <xf numFmtId="0" fontId="6" fillId="0" borderId="0" xfId="0" applyFont="1" applyFill="1" applyBorder="1" applyAlignment="1" applyProtection="1">
      <alignment horizontal="left" vertical="center"/>
    </xf>
    <xf numFmtId="0" fontId="5" fillId="0" borderId="0" xfId="0" applyFont="1" applyFill="1" applyBorder="1" applyProtection="1"/>
    <xf numFmtId="0" fontId="5" fillId="0" borderId="0" xfId="0" applyFont="1" applyFill="1" applyBorder="1" applyAlignment="1" applyProtection="1"/>
    <xf numFmtId="0" fontId="6" fillId="0" borderId="0" xfId="0" applyFont="1" applyFill="1" applyBorder="1" applyAlignment="1" applyProtection="1">
      <alignment vertical="center"/>
    </xf>
    <xf numFmtId="0" fontId="5" fillId="0" borderId="0" xfId="0" applyFont="1" applyFill="1" applyProtection="1"/>
    <xf numFmtId="0" fontId="9" fillId="0" borderId="0" xfId="0" applyFont="1" applyAlignment="1" applyProtection="1"/>
    <xf numFmtId="0" fontId="19" fillId="6" borderId="40" xfId="0" applyNumberFormat="1" applyFont="1" applyFill="1" applyBorder="1" applyAlignment="1" applyProtection="1">
      <alignment vertical="center"/>
    </xf>
    <xf numFmtId="0" fontId="6" fillId="3" borderId="16" xfId="0" applyFont="1" applyFill="1" applyBorder="1" applyProtection="1"/>
    <xf numFmtId="0" fontId="6" fillId="3" borderId="17" xfId="0" applyFont="1" applyFill="1" applyBorder="1" applyProtection="1"/>
    <xf numFmtId="0" fontId="6" fillId="6" borderId="57" xfId="0" applyFont="1" applyFill="1" applyBorder="1" applyAlignment="1" applyProtection="1">
      <alignment horizontal="center" vertical="center"/>
    </xf>
    <xf numFmtId="0" fontId="5" fillId="0" borderId="23" xfId="0" applyFont="1" applyBorder="1" applyProtection="1"/>
    <xf numFmtId="0" fontId="5" fillId="0" borderId="26" xfId="0" applyFont="1" applyBorder="1" applyProtection="1"/>
    <xf numFmtId="0" fontId="5" fillId="0" borderId="12" xfId="0" applyFont="1" applyBorder="1" applyProtection="1"/>
    <xf numFmtId="0" fontId="5" fillId="0" borderId="14" xfId="0" applyFont="1" applyBorder="1" applyProtection="1"/>
    <xf numFmtId="0" fontId="5" fillId="0" borderId="19" xfId="0" applyFont="1" applyBorder="1" applyProtection="1"/>
    <xf numFmtId="0" fontId="5" fillId="0" borderId="31" xfId="0" applyFont="1" applyBorder="1" applyProtection="1"/>
    <xf numFmtId="0" fontId="5" fillId="0" borderId="14" xfId="0" applyFont="1" applyBorder="1" applyAlignment="1" applyProtection="1">
      <alignment horizontal="center" vertical="center"/>
    </xf>
    <xf numFmtId="49" fontId="5" fillId="0" borderId="0" xfId="0" applyNumberFormat="1" applyFont="1" applyAlignment="1" applyProtection="1">
      <alignment vertical="top" wrapText="1"/>
    </xf>
    <xf numFmtId="0" fontId="6" fillId="4" borderId="0" xfId="0" applyFont="1" applyFill="1" applyBorder="1" applyAlignment="1" applyProtection="1">
      <alignment vertical="center" wrapText="1"/>
    </xf>
    <xf numFmtId="0" fontId="0" fillId="4" borderId="0" xfId="0" applyFill="1" applyBorder="1"/>
    <xf numFmtId="0" fontId="0" fillId="4" borderId="0" xfId="0" applyFill="1"/>
    <xf numFmtId="0" fontId="0" fillId="4" borderId="38" xfId="0" applyFill="1" applyBorder="1"/>
    <xf numFmtId="0" fontId="0" fillId="4" borderId="79" xfId="0" applyFill="1" applyBorder="1"/>
    <xf numFmtId="0" fontId="0" fillId="4" borderId="59" xfId="0" applyFill="1" applyBorder="1"/>
    <xf numFmtId="0" fontId="0" fillId="4" borderId="60" xfId="0" applyFill="1" applyBorder="1"/>
    <xf numFmtId="0" fontId="0" fillId="4" borderId="67" xfId="0" applyFill="1" applyBorder="1"/>
    <xf numFmtId="0" fontId="0" fillId="4" borderId="36" xfId="0" applyFill="1" applyBorder="1"/>
    <xf numFmtId="0" fontId="0" fillId="4" borderId="68" xfId="0" applyFill="1" applyBorder="1"/>
    <xf numFmtId="0" fontId="1" fillId="4" borderId="48" xfId="0" applyFont="1" applyFill="1" applyBorder="1" applyAlignment="1">
      <alignment horizontal="center" vertical="center"/>
    </xf>
    <xf numFmtId="0" fontId="1" fillId="4" borderId="38" xfId="0" applyFont="1" applyFill="1" applyBorder="1" applyAlignment="1">
      <alignment horizontal="center" vertical="center"/>
    </xf>
    <xf numFmtId="0" fontId="5" fillId="0" borderId="36" xfId="0" applyFont="1" applyBorder="1" applyAlignment="1" applyProtection="1">
      <alignment horizontal="center"/>
    </xf>
    <xf numFmtId="0" fontId="6" fillId="4" borderId="16" xfId="0" applyFont="1" applyFill="1" applyBorder="1" applyAlignment="1" applyProtection="1">
      <alignment vertical="center" wrapText="1"/>
    </xf>
    <xf numFmtId="0" fontId="5" fillId="4" borderId="10" xfId="0" applyFont="1" applyFill="1" applyBorder="1" applyAlignment="1" applyProtection="1">
      <alignment vertical="top" wrapText="1"/>
    </xf>
    <xf numFmtId="0" fontId="6" fillId="4" borderId="16" xfId="0" applyFont="1" applyFill="1" applyBorder="1" applyAlignment="1" applyProtection="1">
      <alignment horizontal="right" vertical="center"/>
    </xf>
    <xf numFmtId="0" fontId="5" fillId="4" borderId="16" xfId="0" applyFont="1" applyFill="1" applyBorder="1" applyAlignment="1" applyProtection="1">
      <alignment horizontal="center" vertical="center" wrapText="1"/>
    </xf>
    <xf numFmtId="22" fontId="5" fillId="4" borderId="16" xfId="0" applyNumberFormat="1" applyFont="1" applyFill="1" applyBorder="1" applyAlignment="1" applyProtection="1">
      <alignment horizontal="center" vertical="center" wrapText="1"/>
    </xf>
    <xf numFmtId="0" fontId="5" fillId="0" borderId="26"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1" fillId="9" borderId="80" xfId="0" applyFont="1" applyFill="1" applyBorder="1" applyAlignment="1">
      <alignment vertical="center"/>
    </xf>
    <xf numFmtId="0" fontId="33" fillId="14" borderId="80" xfId="0" applyFont="1" applyFill="1" applyBorder="1" applyAlignment="1" applyProtection="1">
      <alignment horizontal="center" vertical="center"/>
    </xf>
    <xf numFmtId="0" fontId="1" fillId="5" borderId="80" xfId="0" applyNumberFormat="1" applyFont="1" applyFill="1" applyBorder="1" applyAlignment="1">
      <alignment horizontal="center" vertical="center"/>
    </xf>
    <xf numFmtId="0" fontId="1" fillId="5" borderId="80" xfId="0" applyNumberFormat="1" applyFont="1" applyFill="1" applyBorder="1" applyAlignment="1">
      <alignment horizontal="center" vertical="center" wrapText="1"/>
    </xf>
    <xf numFmtId="0" fontId="0" fillId="6" borderId="42" xfId="0" applyNumberFormat="1" applyFill="1" applyBorder="1"/>
    <xf numFmtId="0" fontId="0" fillId="6" borderId="85" xfId="0" applyNumberFormat="1" applyFill="1" applyBorder="1"/>
    <xf numFmtId="0" fontId="0" fillId="6" borderId="43" xfId="0" applyNumberFormat="1" applyFill="1" applyBorder="1"/>
    <xf numFmtId="0" fontId="1" fillId="5" borderId="4" xfId="0" applyNumberFormat="1" applyFont="1" applyFill="1" applyBorder="1" applyAlignment="1">
      <alignment horizontal="center" vertical="center"/>
    </xf>
    <xf numFmtId="49" fontId="0" fillId="11" borderId="0" xfId="0" applyNumberFormat="1" applyFill="1"/>
    <xf numFmtId="0" fontId="0" fillId="11" borderId="0" xfId="0" applyNumberFormat="1" applyFill="1"/>
    <xf numFmtId="0" fontId="0" fillId="12" borderId="42" xfId="0" applyNumberFormat="1" applyFill="1" applyBorder="1" applyProtection="1">
      <protection locked="0"/>
    </xf>
    <xf numFmtId="0" fontId="0" fillId="12" borderId="85" xfId="0" applyNumberFormat="1" applyFill="1" applyBorder="1" applyProtection="1">
      <protection locked="0"/>
    </xf>
    <xf numFmtId="0" fontId="0" fillId="12" borderId="85" xfId="0" quotePrefix="1" applyNumberFormat="1" applyFill="1" applyBorder="1" applyProtection="1">
      <protection locked="0"/>
    </xf>
    <xf numFmtId="0" fontId="0" fillId="12" borderId="43" xfId="0" applyNumberFormat="1" applyFill="1" applyBorder="1" applyProtection="1">
      <protection locked="0"/>
    </xf>
    <xf numFmtId="0" fontId="0" fillId="12" borderId="80" xfId="0" applyFill="1" applyBorder="1" applyProtection="1">
      <protection locked="0"/>
    </xf>
    <xf numFmtId="49" fontId="0" fillId="12" borderId="43" xfId="0" applyNumberFormat="1" applyFill="1" applyBorder="1" applyProtection="1">
      <protection locked="0"/>
    </xf>
    <xf numFmtId="0" fontId="36" fillId="12" borderId="17" xfId="0" applyFont="1" applyFill="1" applyBorder="1" applyAlignment="1" applyProtection="1">
      <alignment horizontal="center" vertical="center"/>
      <protection locked="0"/>
    </xf>
    <xf numFmtId="0" fontId="36" fillId="12" borderId="86" xfId="0" applyFont="1" applyFill="1" applyBorder="1" applyAlignment="1" applyProtection="1">
      <alignment horizontal="center" vertical="center"/>
      <protection locked="0"/>
    </xf>
    <xf numFmtId="0" fontId="36" fillId="12" borderId="86" xfId="0" applyNumberFormat="1" applyFont="1" applyFill="1" applyBorder="1" applyAlignment="1" applyProtection="1">
      <alignment horizontal="center" vertical="center"/>
      <protection locked="0"/>
    </xf>
    <xf numFmtId="0" fontId="36" fillId="12" borderId="15" xfId="0" applyFont="1" applyFill="1" applyBorder="1" applyAlignment="1" applyProtection="1">
      <alignment horizontal="center" vertical="center"/>
      <protection locked="0"/>
    </xf>
    <xf numFmtId="0" fontId="27" fillId="12" borderId="2" xfId="0" applyNumberFormat="1" applyFont="1" applyFill="1" applyBorder="1" applyProtection="1">
      <protection locked="0"/>
    </xf>
    <xf numFmtId="0" fontId="27" fillId="12" borderId="1" xfId="0" applyNumberFormat="1" applyFont="1" applyFill="1" applyBorder="1" applyProtection="1">
      <protection locked="0"/>
    </xf>
    <xf numFmtId="0" fontId="27" fillId="12" borderId="38" xfId="0" applyNumberFormat="1" applyFont="1" applyFill="1" applyBorder="1" applyProtection="1">
      <protection locked="0"/>
    </xf>
    <xf numFmtId="0" fontId="27" fillId="12" borderId="37" xfId="0" applyNumberFormat="1" applyFont="1" applyFill="1" applyBorder="1" applyProtection="1">
      <protection locked="0"/>
    </xf>
    <xf numFmtId="49" fontId="27" fillId="12" borderId="37" xfId="0" applyNumberFormat="1" applyFont="1" applyFill="1" applyBorder="1" applyProtection="1">
      <protection locked="0"/>
    </xf>
    <xf numFmtId="0" fontId="0" fillId="7" borderId="71" xfId="1" applyFont="1" applyBorder="1" applyAlignment="1">
      <alignment horizontal="left" vertical="top" wrapText="1"/>
    </xf>
    <xf numFmtId="0" fontId="0" fillId="7" borderId="72" xfId="1" applyFont="1" applyBorder="1" applyAlignment="1">
      <alignment horizontal="left" vertical="top" wrapText="1"/>
    </xf>
    <xf numFmtId="0" fontId="0" fillId="7" borderId="73" xfId="1" applyFont="1" applyBorder="1" applyAlignment="1">
      <alignment horizontal="left" vertical="top" wrapText="1"/>
    </xf>
    <xf numFmtId="0" fontId="0" fillId="7" borderId="74" xfId="1" applyFont="1" applyBorder="1" applyAlignment="1">
      <alignment horizontal="left" vertical="top" wrapText="1"/>
    </xf>
    <xf numFmtId="0" fontId="0" fillId="7" borderId="58" xfId="1" applyFont="1" applyBorder="1" applyAlignment="1">
      <alignment horizontal="left" vertical="top" wrapText="1"/>
    </xf>
    <xf numFmtId="0" fontId="0" fillId="7" borderId="75" xfId="1" applyFont="1" applyBorder="1" applyAlignment="1">
      <alignment horizontal="left" vertical="top" wrapText="1"/>
    </xf>
    <xf numFmtId="0" fontId="0" fillId="7" borderId="76" xfId="1" applyFont="1" applyBorder="1" applyAlignment="1">
      <alignment horizontal="left" vertical="top" wrapText="1"/>
    </xf>
    <xf numFmtId="0" fontId="0" fillId="7" borderId="77" xfId="1" applyFont="1" applyBorder="1" applyAlignment="1">
      <alignment horizontal="left" vertical="top" wrapText="1"/>
    </xf>
    <xf numFmtId="0" fontId="0" fillId="7" borderId="78" xfId="1" applyFont="1" applyBorder="1" applyAlignment="1">
      <alignment horizontal="left" vertical="top" wrapText="1"/>
    </xf>
    <xf numFmtId="0" fontId="28" fillId="9" borderId="1" xfId="0" applyFont="1" applyFill="1" applyBorder="1" applyAlignment="1">
      <alignment horizontal="left" vertical="top" wrapText="1"/>
    </xf>
    <xf numFmtId="0" fontId="28" fillId="9" borderId="2" xfId="0" applyFont="1" applyFill="1" applyBorder="1" applyAlignment="1">
      <alignment horizontal="left" vertical="top" wrapText="1"/>
    </xf>
    <xf numFmtId="0" fontId="28" fillId="9" borderId="3" xfId="0" applyFont="1" applyFill="1" applyBorder="1" applyAlignment="1">
      <alignment horizontal="left" vertical="top" wrapText="1"/>
    </xf>
    <xf numFmtId="0" fontId="28" fillId="9" borderId="15" xfId="0" applyFont="1" applyFill="1" applyBorder="1" applyAlignment="1">
      <alignment horizontal="left" vertical="top" wrapText="1"/>
    </xf>
    <xf numFmtId="0" fontId="28" fillId="9" borderId="16" xfId="0" applyFont="1" applyFill="1" applyBorder="1" applyAlignment="1">
      <alignment horizontal="left" vertical="top" wrapText="1"/>
    </xf>
    <xf numFmtId="0" fontId="28" fillId="9" borderId="17" xfId="0" applyFont="1" applyFill="1" applyBorder="1" applyAlignment="1">
      <alignment horizontal="left" vertical="top" wrapText="1"/>
    </xf>
    <xf numFmtId="0" fontId="30" fillId="10" borderId="22" xfId="2" applyFont="1" applyFill="1" applyBorder="1" applyAlignment="1">
      <alignment horizontal="left" vertical="center"/>
    </xf>
    <xf numFmtId="0" fontId="30" fillId="10" borderId="32" xfId="2" applyFont="1" applyFill="1" applyBorder="1" applyAlignment="1">
      <alignment horizontal="left" vertical="center"/>
    </xf>
    <xf numFmtId="0" fontId="30" fillId="10" borderId="81" xfId="2" applyFont="1" applyFill="1" applyBorder="1" applyAlignment="1">
      <alignment horizontal="left" vertical="center"/>
    </xf>
    <xf numFmtId="0" fontId="30" fillId="10" borderId="33" xfId="2" applyFont="1" applyFill="1" applyBorder="1" applyAlignment="1">
      <alignment horizontal="left" vertical="center"/>
    </xf>
    <xf numFmtId="0" fontId="30" fillId="10" borderId="34" xfId="2" applyFont="1" applyFill="1" applyBorder="1" applyAlignment="1">
      <alignment horizontal="left" vertical="center"/>
    </xf>
    <xf numFmtId="0" fontId="30" fillId="10" borderId="29" xfId="2" applyFont="1" applyFill="1" applyBorder="1" applyAlignment="1">
      <alignment horizontal="left" vertical="center"/>
    </xf>
    <xf numFmtId="0" fontId="24" fillId="2" borderId="1" xfId="0" applyFont="1" applyFill="1" applyBorder="1" applyAlignment="1" applyProtection="1">
      <alignment horizontal="center" vertical="center" wrapText="1"/>
    </xf>
    <xf numFmtId="0" fontId="24" fillId="2" borderId="2" xfId="0" applyFont="1" applyFill="1" applyBorder="1" applyAlignment="1" applyProtection="1">
      <alignment horizontal="center" vertical="center" wrapText="1"/>
    </xf>
    <xf numFmtId="0" fontId="24" fillId="2" borderId="15" xfId="0" applyFont="1" applyFill="1" applyBorder="1" applyAlignment="1" applyProtection="1">
      <alignment horizontal="center" vertical="center" wrapText="1"/>
    </xf>
    <xf numFmtId="0" fontId="24" fillId="2" borderId="16" xfId="0" applyFont="1" applyFill="1" applyBorder="1" applyAlignment="1" applyProtection="1">
      <alignment horizontal="center" vertical="center" wrapText="1"/>
    </xf>
    <xf numFmtId="0" fontId="5" fillId="0" borderId="56"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6" fillId="3" borderId="53" xfId="0" applyFont="1" applyFill="1" applyBorder="1" applyAlignment="1" applyProtection="1">
      <alignment horizontal="center" vertical="center"/>
    </xf>
    <xf numFmtId="0" fontId="6" fillId="3" borderId="54"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5" fillId="0" borderId="44" xfId="0" applyFont="1" applyBorder="1" applyAlignment="1" applyProtection="1">
      <alignment horizontal="center"/>
    </xf>
    <xf numFmtId="0" fontId="5" fillId="0" borderId="45" xfId="0" applyFont="1" applyBorder="1" applyAlignment="1" applyProtection="1">
      <alignment horizontal="center"/>
    </xf>
    <xf numFmtId="0" fontId="5" fillId="0" borderId="25" xfId="0" applyFont="1" applyBorder="1" applyAlignment="1" applyProtection="1">
      <alignment horizontal="center"/>
    </xf>
    <xf numFmtId="0" fontId="5" fillId="0" borderId="26" xfId="0" applyFont="1" applyBorder="1" applyAlignment="1" applyProtection="1">
      <alignment horizontal="center"/>
    </xf>
    <xf numFmtId="0" fontId="6" fillId="3" borderId="15" xfId="0" applyFont="1" applyFill="1" applyBorder="1" applyAlignment="1" applyProtection="1">
      <alignment horizontal="center" vertical="center"/>
    </xf>
    <xf numFmtId="0" fontId="6" fillId="3" borderId="16" xfId="0" applyFont="1" applyFill="1" applyBorder="1" applyAlignment="1" applyProtection="1">
      <alignment horizontal="center" vertical="center"/>
    </xf>
    <xf numFmtId="0" fontId="6" fillId="3" borderId="17" xfId="0" applyFont="1" applyFill="1" applyBorder="1" applyAlignment="1" applyProtection="1">
      <alignment horizontal="center" vertical="center"/>
    </xf>
    <xf numFmtId="0" fontId="5" fillId="0" borderId="16" xfId="0" applyFont="1" applyFill="1" applyBorder="1" applyAlignment="1" applyProtection="1">
      <alignment horizontal="left" vertical="center"/>
      <protection locked="0"/>
    </xf>
    <xf numFmtId="0" fontId="5" fillId="0" borderId="17" xfId="0" applyFont="1" applyFill="1" applyBorder="1" applyAlignment="1" applyProtection="1">
      <alignment horizontal="left" vertical="center"/>
      <protection locked="0"/>
    </xf>
    <xf numFmtId="0" fontId="6" fillId="6" borderId="33" xfId="0" applyFont="1" applyFill="1" applyBorder="1" applyAlignment="1" applyProtection="1">
      <alignment horizontal="left" vertical="center"/>
    </xf>
    <xf numFmtId="0" fontId="6" fillId="6" borderId="52" xfId="0" applyFont="1" applyFill="1" applyBorder="1" applyAlignment="1" applyProtection="1">
      <alignment horizontal="left" vertical="center"/>
    </xf>
    <xf numFmtId="0" fontId="6" fillId="6" borderId="47" xfId="0" applyFont="1" applyFill="1" applyBorder="1" applyAlignment="1" applyProtection="1">
      <alignment horizontal="left" vertical="center"/>
    </xf>
    <xf numFmtId="0" fontId="6" fillId="6" borderId="44" xfId="0" applyFont="1" applyFill="1" applyBorder="1" applyAlignment="1" applyProtection="1">
      <alignment horizontal="left" vertical="center"/>
    </xf>
    <xf numFmtId="0" fontId="6" fillId="6" borderId="45" xfId="0" applyFont="1" applyFill="1" applyBorder="1" applyAlignment="1" applyProtection="1">
      <alignment horizontal="left" vertical="center"/>
    </xf>
    <xf numFmtId="0" fontId="5" fillId="0" borderId="44" xfId="0" applyFont="1" applyBorder="1" applyAlignment="1" applyProtection="1">
      <alignment horizontal="center" vertical="center"/>
    </xf>
    <xf numFmtId="22" fontId="5" fillId="0" borderId="44" xfId="0" applyNumberFormat="1" applyFont="1" applyBorder="1" applyAlignment="1" applyProtection="1">
      <alignment horizontal="center" vertical="center"/>
    </xf>
    <xf numFmtId="0" fontId="6" fillId="6" borderId="23" xfId="0" applyFont="1" applyFill="1" applyBorder="1" applyAlignment="1" applyProtection="1">
      <alignment horizontal="left" vertical="center"/>
    </xf>
    <xf numFmtId="0" fontId="6" fillId="6" borderId="25" xfId="0" applyFont="1" applyFill="1" applyBorder="1" applyAlignment="1" applyProtection="1">
      <alignment horizontal="left" vertical="center"/>
    </xf>
    <xf numFmtId="0" fontId="5" fillId="0" borderId="25" xfId="0" applyFont="1" applyBorder="1" applyAlignment="1" applyProtection="1">
      <alignment horizontal="center" vertical="center"/>
    </xf>
    <xf numFmtId="22" fontId="5" fillId="0" borderId="25" xfId="0" applyNumberFormat="1" applyFont="1" applyBorder="1" applyAlignment="1" applyProtection="1">
      <alignment horizontal="center" vertical="center"/>
    </xf>
    <xf numFmtId="0" fontId="5" fillId="0" borderId="24"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49"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6" fillId="6" borderId="4" xfId="0" applyFont="1" applyFill="1" applyBorder="1" applyAlignment="1" applyProtection="1">
      <alignment horizontal="center" vertical="center"/>
    </xf>
    <xf numFmtId="0" fontId="6" fillId="6" borderId="5" xfId="0" applyFont="1" applyFill="1" applyBorder="1" applyAlignment="1" applyProtection="1">
      <alignment horizontal="center" vertical="center"/>
    </xf>
    <xf numFmtId="0" fontId="6" fillId="6" borderId="6" xfId="0" applyFont="1" applyFill="1" applyBorder="1" applyAlignment="1" applyProtection="1">
      <alignment horizontal="center" vertical="center"/>
    </xf>
    <xf numFmtId="0" fontId="6" fillId="6" borderId="12" xfId="0" applyFont="1" applyFill="1" applyBorder="1" applyAlignment="1" applyProtection="1">
      <alignment horizontal="left" vertical="center"/>
    </xf>
    <xf numFmtId="0" fontId="6" fillId="6" borderId="13" xfId="0" applyFont="1" applyFill="1" applyBorder="1" applyAlignment="1" applyProtection="1">
      <alignment horizontal="left" vertical="center"/>
    </xf>
    <xf numFmtId="0" fontId="6" fillId="6" borderId="27" xfId="0" applyFont="1" applyFill="1" applyBorder="1" applyAlignment="1" applyProtection="1">
      <alignment horizontal="left" vertical="center"/>
    </xf>
    <xf numFmtId="0" fontId="6" fillId="6" borderId="39" xfId="0" applyFont="1" applyFill="1" applyBorder="1" applyAlignment="1" applyProtection="1">
      <alignment horizontal="left" vertical="center"/>
    </xf>
    <xf numFmtId="0" fontId="6" fillId="6" borderId="40" xfId="0" applyFont="1" applyFill="1" applyBorder="1" applyAlignment="1" applyProtection="1">
      <alignment horizontal="left" vertical="center"/>
    </xf>
    <xf numFmtId="0" fontId="6" fillId="6" borderId="19" xfId="0" applyFont="1" applyFill="1" applyBorder="1" applyAlignment="1" applyProtection="1">
      <alignment horizontal="left" vertical="center"/>
    </xf>
    <xf numFmtId="0" fontId="6" fillId="6" borderId="20" xfId="0" applyFont="1" applyFill="1" applyBorder="1" applyAlignment="1" applyProtection="1">
      <alignment horizontal="left" vertical="center"/>
    </xf>
    <xf numFmtId="0" fontId="6" fillId="6" borderId="28" xfId="0" applyFont="1" applyFill="1" applyBorder="1" applyAlignment="1" applyProtection="1">
      <alignment horizontal="left" vertical="center"/>
    </xf>
    <xf numFmtId="0" fontId="6" fillId="6" borderId="34" xfId="0" applyFont="1" applyFill="1" applyBorder="1" applyAlignment="1" applyProtection="1">
      <alignment horizontal="left" vertical="center"/>
    </xf>
    <xf numFmtId="0" fontId="6" fillId="6" borderId="7" xfId="0" applyFont="1" applyFill="1" applyBorder="1" applyAlignment="1" applyProtection="1">
      <alignment horizontal="center" vertical="center"/>
    </xf>
    <xf numFmtId="0" fontId="6" fillId="6" borderId="8" xfId="0" applyFont="1" applyFill="1" applyBorder="1" applyAlignment="1" applyProtection="1">
      <alignment horizontal="center" vertical="center"/>
    </xf>
    <xf numFmtId="0" fontId="6" fillId="6" borderId="9" xfId="0" applyFont="1" applyFill="1" applyBorder="1" applyAlignment="1" applyProtection="1">
      <alignment horizontal="center" vertical="center"/>
    </xf>
    <xf numFmtId="0" fontId="6" fillId="6" borderId="24" xfId="0" applyFont="1" applyFill="1" applyBorder="1" applyAlignment="1" applyProtection="1">
      <alignment horizontal="left" vertical="center"/>
    </xf>
    <xf numFmtId="0" fontId="6" fillId="6" borderId="7" xfId="0" applyFont="1" applyFill="1" applyBorder="1" applyAlignment="1" applyProtection="1">
      <alignment horizontal="left" vertical="center"/>
    </xf>
    <xf numFmtId="0" fontId="6" fillId="6" borderId="8" xfId="0" applyFont="1" applyFill="1" applyBorder="1" applyAlignment="1" applyProtection="1">
      <alignment horizontal="left" vertical="center"/>
    </xf>
    <xf numFmtId="0" fontId="6" fillId="6" borderId="9" xfId="0" applyFont="1" applyFill="1" applyBorder="1" applyAlignment="1" applyProtection="1">
      <alignment horizontal="left" vertical="center"/>
    </xf>
    <xf numFmtId="165" fontId="5" fillId="0" borderId="7" xfId="0" applyNumberFormat="1" applyFont="1" applyBorder="1" applyAlignment="1" applyProtection="1">
      <alignment horizontal="center" vertical="center"/>
      <protection locked="0"/>
    </xf>
    <xf numFmtId="165" fontId="5" fillId="0" borderId="8" xfId="0" applyNumberFormat="1" applyFont="1" applyBorder="1" applyAlignment="1" applyProtection="1">
      <alignment horizontal="center" vertical="center"/>
      <protection locked="0"/>
    </xf>
    <xf numFmtId="165" fontId="5" fillId="0" borderId="9" xfId="0" applyNumberFormat="1"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6" fillId="6" borderId="22" xfId="0" applyFont="1" applyFill="1" applyBorder="1" applyAlignment="1" applyProtection="1">
      <alignment horizontal="left" vertical="center"/>
    </xf>
    <xf numFmtId="0" fontId="6" fillId="6" borderId="32" xfId="0" applyFont="1" applyFill="1" applyBorder="1" applyAlignment="1" applyProtection="1">
      <alignment horizontal="left" vertical="center"/>
    </xf>
    <xf numFmtId="0" fontId="6" fillId="3" borderId="16" xfId="0" applyFont="1" applyFill="1" applyBorder="1" applyAlignment="1" applyProtection="1">
      <alignment horizontal="left" vertical="center"/>
    </xf>
    <xf numFmtId="0" fontId="5" fillId="0" borderId="25"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49" fontId="5" fillId="0" borderId="18" xfId="0" applyNumberFormat="1" applyFont="1" applyBorder="1" applyAlignment="1" applyProtection="1">
      <alignment horizontal="center" vertical="center"/>
      <protection locked="0"/>
    </xf>
    <xf numFmtId="49" fontId="5" fillId="0" borderId="21" xfId="0" applyNumberFormat="1" applyFont="1" applyBorder="1" applyAlignment="1" applyProtection="1">
      <alignment horizontal="center" vertical="center"/>
      <protection locked="0"/>
    </xf>
    <xf numFmtId="0" fontId="6" fillId="6" borderId="30" xfId="0" applyFont="1" applyFill="1" applyBorder="1" applyAlignment="1" applyProtection="1">
      <alignment horizontal="left" vertical="center"/>
    </xf>
    <xf numFmtId="0" fontId="6" fillId="6" borderId="18" xfId="0" applyFont="1" applyFill="1" applyBorder="1" applyAlignment="1" applyProtection="1">
      <alignment horizontal="left" vertical="center"/>
    </xf>
    <xf numFmtId="49" fontId="5" fillId="0" borderId="25" xfId="0" applyNumberFormat="1" applyFont="1" applyBorder="1" applyAlignment="1" applyProtection="1">
      <alignment horizontal="center" vertical="center"/>
    </xf>
    <xf numFmtId="49" fontId="5" fillId="0" borderId="26" xfId="0" applyNumberFormat="1" applyFont="1" applyBorder="1" applyAlignment="1" applyProtection="1">
      <alignment horizontal="center" vertical="center"/>
    </xf>
    <xf numFmtId="165" fontId="5" fillId="0" borderId="18" xfId="0" applyNumberFormat="1" applyFont="1" applyBorder="1" applyAlignment="1" applyProtection="1">
      <alignment horizontal="center" vertical="center"/>
      <protection locked="0"/>
    </xf>
    <xf numFmtId="165" fontId="5" fillId="0" borderId="21" xfId="0" applyNumberFormat="1" applyFont="1" applyBorder="1" applyAlignment="1" applyProtection="1">
      <alignment horizontal="center" vertical="center"/>
      <protection locked="0"/>
    </xf>
    <xf numFmtId="0" fontId="4" fillId="6" borderId="34" xfId="0" applyNumberFormat="1" applyFont="1" applyFill="1" applyBorder="1" applyAlignment="1" applyProtection="1">
      <alignment horizontal="left" vertical="center"/>
    </xf>
    <xf numFmtId="0" fontId="4" fillId="6" borderId="29" xfId="0" applyNumberFormat="1" applyFont="1" applyFill="1" applyBorder="1" applyAlignment="1" applyProtection="1">
      <alignment horizontal="left" vertical="center"/>
    </xf>
    <xf numFmtId="0" fontId="6" fillId="6" borderId="47" xfId="0" applyFont="1" applyFill="1" applyBorder="1" applyAlignment="1" applyProtection="1">
      <alignment horizontal="center" vertical="center"/>
    </xf>
    <xf numFmtId="0" fontId="6" fillId="6" borderId="44" xfId="0" applyFont="1" applyFill="1" applyBorder="1" applyAlignment="1" applyProtection="1">
      <alignment horizontal="center" vertical="center"/>
    </xf>
    <xf numFmtId="0" fontId="6" fillId="6" borderId="45" xfId="0" applyFont="1" applyFill="1" applyBorder="1" applyAlignment="1" applyProtection="1">
      <alignment horizontal="center" vertical="center"/>
    </xf>
    <xf numFmtId="0" fontId="5" fillId="0" borderId="23" xfId="0" applyFont="1" applyBorder="1" applyAlignment="1" applyProtection="1">
      <alignment horizontal="center" vertical="center"/>
      <protection locked="0"/>
    </xf>
    <xf numFmtId="0" fontId="5" fillId="0" borderId="30"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0" fontId="2" fillId="5" borderId="1" xfId="0" applyFont="1" applyFill="1" applyBorder="1" applyAlignment="1" applyProtection="1">
      <alignment horizontal="center" vertical="center"/>
    </xf>
    <xf numFmtId="0" fontId="2" fillId="5" borderId="2" xfId="0" applyFont="1" applyFill="1" applyBorder="1" applyAlignment="1" applyProtection="1">
      <alignment horizontal="center" vertical="center"/>
    </xf>
    <xf numFmtId="0" fontId="2" fillId="5" borderId="3" xfId="0" applyFont="1" applyFill="1" applyBorder="1" applyAlignment="1" applyProtection="1">
      <alignment horizontal="center" vertical="center"/>
    </xf>
    <xf numFmtId="0" fontId="2" fillId="5" borderId="15" xfId="0" applyFont="1" applyFill="1" applyBorder="1" applyAlignment="1" applyProtection="1">
      <alignment horizontal="center" vertical="center"/>
    </xf>
    <xf numFmtId="0" fontId="2" fillId="5" borderId="16" xfId="0" applyFont="1" applyFill="1" applyBorder="1" applyAlignment="1" applyProtection="1">
      <alignment horizontal="center" vertical="center"/>
    </xf>
    <xf numFmtId="0" fontId="2" fillId="5" borderId="17" xfId="0" applyFont="1" applyFill="1" applyBorder="1" applyAlignment="1" applyProtection="1">
      <alignment horizontal="center" vertical="center"/>
    </xf>
    <xf numFmtId="0" fontId="3" fillId="6" borderId="47" xfId="0" applyFont="1" applyFill="1" applyBorder="1" applyAlignment="1" applyProtection="1">
      <alignment horizontal="center" vertical="center"/>
    </xf>
    <xf numFmtId="0" fontId="3" fillId="6" borderId="44" xfId="0" applyFont="1" applyFill="1" applyBorder="1" applyAlignment="1" applyProtection="1">
      <alignment horizontal="center" vertical="center"/>
    </xf>
    <xf numFmtId="0" fontId="3" fillId="6" borderId="45" xfId="0" applyFont="1" applyFill="1" applyBorder="1" applyAlignment="1" applyProtection="1">
      <alignment horizontal="center" vertical="center"/>
    </xf>
    <xf numFmtId="0" fontId="4" fillId="6" borderId="40" xfId="0" applyNumberFormat="1" applyFont="1" applyFill="1" applyBorder="1" applyAlignment="1" applyProtection="1">
      <alignment horizontal="left" vertical="center"/>
    </xf>
    <xf numFmtId="0" fontId="4" fillId="6" borderId="41" xfId="0" applyNumberFormat="1" applyFont="1" applyFill="1" applyBorder="1" applyAlignment="1" applyProtection="1">
      <alignment horizontal="left" vertical="center"/>
    </xf>
    <xf numFmtId="0" fontId="2" fillId="2" borderId="10"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2" fillId="2" borderId="11" xfId="0" applyFont="1" applyFill="1" applyBorder="1" applyAlignment="1" applyProtection="1">
      <alignment horizontal="center" vertical="center" wrapText="1"/>
    </xf>
    <xf numFmtId="0" fontId="5" fillId="0" borderId="1" xfId="0" applyFont="1" applyBorder="1" applyAlignment="1" applyProtection="1">
      <alignment horizontal="left" vertical="top" wrapText="1"/>
    </xf>
    <xf numFmtId="0" fontId="5" fillId="0" borderId="2" xfId="0" applyFont="1" applyBorder="1" applyAlignment="1" applyProtection="1">
      <alignment horizontal="left" vertical="top" wrapText="1"/>
    </xf>
    <xf numFmtId="0" fontId="5" fillId="0" borderId="3" xfId="0" applyFont="1" applyBorder="1" applyAlignment="1" applyProtection="1">
      <alignment horizontal="left" vertical="top" wrapText="1"/>
    </xf>
    <xf numFmtId="0" fontId="5" fillId="0" borderId="10" xfId="0" applyFont="1" applyBorder="1" applyAlignment="1" applyProtection="1">
      <alignment horizontal="left" vertical="top" wrapText="1"/>
    </xf>
    <xf numFmtId="0" fontId="5" fillId="0" borderId="0" xfId="0" applyFont="1" applyBorder="1" applyAlignment="1" applyProtection="1">
      <alignment horizontal="left" vertical="top" wrapText="1"/>
    </xf>
    <xf numFmtId="0" fontId="5" fillId="0" borderId="11" xfId="0" applyFont="1" applyBorder="1" applyAlignment="1" applyProtection="1">
      <alignment horizontal="left" vertical="top" wrapText="1"/>
    </xf>
    <xf numFmtId="0" fontId="5" fillId="0" borderId="39" xfId="0" applyFont="1" applyBorder="1" applyAlignment="1" applyProtection="1">
      <alignment horizontal="center" vertical="center"/>
    </xf>
    <xf numFmtId="0" fontId="5" fillId="0" borderId="40" xfId="0" applyFont="1" applyBorder="1" applyAlignment="1" applyProtection="1">
      <alignment horizontal="center" vertical="center"/>
    </xf>
    <xf numFmtId="0" fontId="5" fillId="0" borderId="41" xfId="0" applyFont="1" applyBorder="1" applyAlignment="1" applyProtection="1">
      <alignment horizontal="center" vertical="center"/>
    </xf>
    <xf numFmtId="0" fontId="6" fillId="4" borderId="0" xfId="0" applyFont="1" applyFill="1" applyBorder="1" applyAlignment="1" applyProtection="1">
      <alignment horizontal="center" wrapText="1"/>
    </xf>
    <xf numFmtId="0" fontId="6" fillId="4" borderId="11" xfId="0" applyFont="1" applyFill="1" applyBorder="1" applyAlignment="1" applyProtection="1">
      <alignment horizontal="center" wrapText="1"/>
    </xf>
    <xf numFmtId="0" fontId="16" fillId="4" borderId="0" xfId="0" applyFont="1" applyFill="1" applyBorder="1" applyAlignment="1" applyProtection="1">
      <alignment horizontal="center" vertical="center" wrapText="1"/>
    </xf>
    <xf numFmtId="0" fontId="16" fillId="4" borderId="11" xfId="0" applyFont="1" applyFill="1" applyBorder="1" applyAlignment="1" applyProtection="1">
      <alignment horizontal="center" vertical="center" wrapText="1"/>
    </xf>
    <xf numFmtId="0" fontId="16" fillId="4" borderId="16" xfId="0" applyFont="1" applyFill="1" applyBorder="1" applyAlignment="1" applyProtection="1">
      <alignment horizontal="center" vertical="center" wrapText="1"/>
    </xf>
    <xf numFmtId="0" fontId="16" fillId="4" borderId="17" xfId="0" applyFont="1" applyFill="1" applyBorder="1" applyAlignment="1" applyProtection="1">
      <alignment horizontal="center" vertical="center" wrapText="1"/>
    </xf>
    <xf numFmtId="0" fontId="4" fillId="6" borderId="38" xfId="0" applyNumberFormat="1" applyFont="1" applyFill="1" applyBorder="1" applyAlignment="1" applyProtection="1">
      <alignment horizontal="left" vertical="center" wrapText="1"/>
    </xf>
    <xf numFmtId="0" fontId="4" fillId="6" borderId="36" xfId="0" applyNumberFormat="1" applyFont="1" applyFill="1" applyBorder="1" applyAlignment="1" applyProtection="1">
      <alignment horizontal="left" vertical="center" wrapText="1"/>
    </xf>
    <xf numFmtId="0" fontId="6" fillId="6" borderId="12" xfId="0" applyFont="1" applyFill="1" applyBorder="1" applyAlignment="1" applyProtection="1">
      <alignment horizontal="center" vertical="center"/>
    </xf>
    <xf numFmtId="0" fontId="6" fillId="6" borderId="13" xfId="0" applyFont="1" applyFill="1" applyBorder="1" applyAlignment="1" applyProtection="1">
      <alignment horizontal="center" vertical="center"/>
    </xf>
    <xf numFmtId="0" fontId="6" fillId="6" borderId="14" xfId="0" applyFont="1" applyFill="1" applyBorder="1" applyAlignment="1" applyProtection="1">
      <alignment horizontal="center" vertical="center"/>
    </xf>
    <xf numFmtId="0" fontId="5" fillId="0" borderId="19" xfId="0" applyFont="1" applyBorder="1" applyAlignment="1" applyProtection="1">
      <alignment horizontal="center" vertical="center"/>
    </xf>
    <xf numFmtId="0" fontId="5" fillId="0" borderId="20" xfId="0" applyFont="1" applyBorder="1" applyAlignment="1" applyProtection="1">
      <alignment horizontal="center" vertical="center"/>
    </xf>
    <xf numFmtId="0" fontId="5" fillId="0" borderId="31" xfId="0" applyFont="1" applyBorder="1" applyAlignment="1" applyProtection="1">
      <alignment horizontal="center" vertical="center"/>
    </xf>
    <xf numFmtId="0" fontId="2" fillId="2" borderId="1"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49" fontId="5" fillId="0" borderId="2" xfId="0" applyNumberFormat="1" applyFont="1" applyBorder="1" applyAlignment="1" applyProtection="1">
      <alignment horizontal="center" vertical="center"/>
      <protection locked="0"/>
    </xf>
    <xf numFmtId="49" fontId="5" fillId="0" borderId="3" xfId="0" applyNumberFormat="1" applyFont="1" applyBorder="1" applyAlignment="1" applyProtection="1">
      <alignment horizontal="center" vertical="center"/>
      <protection locked="0"/>
    </xf>
    <xf numFmtId="49" fontId="5" fillId="0" borderId="16" xfId="0" applyNumberFormat="1" applyFont="1" applyBorder="1" applyAlignment="1" applyProtection="1">
      <alignment horizontal="center" vertical="center"/>
      <protection locked="0"/>
    </xf>
    <xf numFmtId="49" fontId="5" fillId="0" borderId="17" xfId="0" applyNumberFormat="1"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6" fillId="6" borderId="39" xfId="0" applyFont="1" applyFill="1" applyBorder="1" applyAlignment="1" applyProtection="1">
      <alignment horizontal="center" vertical="center"/>
    </xf>
    <xf numFmtId="0" fontId="6" fillId="6" borderId="40" xfId="0" applyFont="1" applyFill="1" applyBorder="1" applyAlignment="1" applyProtection="1">
      <alignment horizontal="center" vertical="center"/>
    </xf>
    <xf numFmtId="0" fontId="6" fillId="6" borderId="41" xfId="0" applyFont="1" applyFill="1" applyBorder="1" applyAlignment="1" applyProtection="1">
      <alignment horizontal="center" vertical="center"/>
    </xf>
    <xf numFmtId="166" fontId="17" fillId="6" borderId="37" xfId="0" applyNumberFormat="1" applyFont="1" applyFill="1" applyBorder="1" applyAlignment="1" applyProtection="1">
      <alignment horizontal="center"/>
    </xf>
    <xf numFmtId="166" fontId="17" fillId="6" borderId="35" xfId="0" applyNumberFormat="1" applyFont="1" applyFill="1" applyBorder="1" applyAlignment="1" applyProtection="1">
      <alignment horizontal="center"/>
    </xf>
    <xf numFmtId="0" fontId="6" fillId="6" borderId="12" xfId="0" applyFont="1" applyFill="1" applyBorder="1" applyAlignment="1" applyProtection="1">
      <alignment horizontal="left" vertical="center" wrapText="1"/>
    </xf>
    <xf numFmtId="0" fontId="6" fillId="6" borderId="13" xfId="0" applyFont="1" applyFill="1" applyBorder="1" applyAlignment="1" applyProtection="1">
      <alignment horizontal="left" vertical="center" wrapText="1"/>
    </xf>
    <xf numFmtId="0" fontId="4" fillId="6" borderId="32" xfId="0" applyNumberFormat="1" applyFont="1" applyFill="1" applyBorder="1" applyAlignment="1" applyProtection="1">
      <alignment horizontal="left" vertical="center"/>
    </xf>
    <xf numFmtId="0" fontId="5" fillId="0" borderId="14"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164" fontId="5" fillId="0" borderId="23" xfId="0" applyNumberFormat="1" applyFont="1" applyBorder="1" applyAlignment="1" applyProtection="1">
      <alignment horizontal="center" vertical="center"/>
      <protection locked="0"/>
    </xf>
    <xf numFmtId="164" fontId="5" fillId="0" borderId="25" xfId="0" applyNumberFormat="1" applyFont="1" applyBorder="1" applyAlignment="1" applyProtection="1">
      <alignment horizontal="center" vertical="center"/>
      <protection locked="0"/>
    </xf>
    <xf numFmtId="164" fontId="5" fillId="0" borderId="24" xfId="0" applyNumberFormat="1" applyFont="1" applyBorder="1" applyAlignment="1" applyProtection="1">
      <alignment horizontal="center" vertical="center"/>
      <protection locked="0"/>
    </xf>
    <xf numFmtId="164" fontId="5" fillId="0" borderId="30" xfId="0" applyNumberFormat="1" applyFont="1" applyBorder="1" applyAlignment="1" applyProtection="1">
      <alignment horizontal="center" vertical="center"/>
      <protection locked="0"/>
    </xf>
    <xf numFmtId="164" fontId="5" fillId="0" borderId="18" xfId="0" applyNumberFormat="1" applyFont="1" applyBorder="1" applyAlignment="1" applyProtection="1">
      <alignment horizontal="center" vertical="center"/>
      <protection locked="0"/>
    </xf>
    <xf numFmtId="164" fontId="5" fillId="0" borderId="48" xfId="0" applyNumberFormat="1" applyFont="1" applyBorder="1" applyAlignment="1" applyProtection="1">
      <alignment horizontal="center" vertical="center"/>
      <protection locked="0"/>
    </xf>
    <xf numFmtId="0" fontId="5" fillId="0" borderId="23" xfId="0" applyFont="1" applyBorder="1" applyAlignment="1" applyProtection="1">
      <alignment horizontal="center" vertical="center"/>
    </xf>
    <xf numFmtId="0" fontId="5" fillId="0" borderId="26" xfId="0" applyFont="1" applyBorder="1" applyAlignment="1" applyProtection="1">
      <alignment horizontal="center" vertical="center"/>
    </xf>
    <xf numFmtId="49" fontId="5" fillId="0" borderId="10" xfId="0" applyNumberFormat="1" applyFont="1" applyBorder="1" applyAlignment="1" applyProtection="1">
      <alignment horizontal="center" vertical="center"/>
      <protection locked="0"/>
    </xf>
    <xf numFmtId="49" fontId="5" fillId="0" borderId="0" xfId="0" applyNumberFormat="1" applyFont="1" applyBorder="1" applyAlignment="1" applyProtection="1">
      <alignment horizontal="center" vertical="center"/>
      <protection locked="0"/>
    </xf>
    <xf numFmtId="49" fontId="5" fillId="0" borderId="11" xfId="0" applyNumberFormat="1" applyFont="1" applyBorder="1" applyAlignment="1" applyProtection="1">
      <alignment horizontal="center" vertical="center"/>
      <protection locked="0"/>
    </xf>
    <xf numFmtId="49" fontId="5" fillId="0" borderId="1" xfId="0" applyNumberFormat="1" applyFont="1" applyFill="1" applyBorder="1" applyAlignment="1" applyProtection="1">
      <alignment horizontal="center" vertical="center"/>
      <protection locked="0"/>
    </xf>
    <xf numFmtId="49" fontId="5" fillId="0" borderId="2" xfId="0" applyNumberFormat="1" applyFont="1" applyFill="1" applyBorder="1" applyAlignment="1" applyProtection="1">
      <alignment horizontal="center" vertical="center"/>
      <protection locked="0"/>
    </xf>
    <xf numFmtId="49" fontId="5" fillId="0" borderId="3" xfId="0" applyNumberFormat="1" applyFont="1" applyFill="1" applyBorder="1" applyAlignment="1" applyProtection="1">
      <alignment horizontal="center" vertical="center"/>
      <protection locked="0"/>
    </xf>
    <xf numFmtId="49" fontId="5" fillId="0" borderId="15" xfId="0" applyNumberFormat="1" applyFont="1" applyFill="1" applyBorder="1" applyAlignment="1" applyProtection="1">
      <alignment horizontal="center" vertical="center"/>
      <protection locked="0"/>
    </xf>
    <xf numFmtId="49" fontId="5" fillId="0" borderId="16" xfId="0" applyNumberFormat="1" applyFont="1" applyFill="1" applyBorder="1" applyAlignment="1" applyProtection="1">
      <alignment horizontal="center" vertical="center"/>
      <protection locked="0"/>
    </xf>
    <xf numFmtId="49" fontId="5" fillId="0" borderId="17" xfId="0" applyNumberFormat="1" applyFont="1" applyFill="1" applyBorder="1" applyAlignment="1" applyProtection="1">
      <alignment horizontal="center" vertical="center"/>
      <protection locked="0"/>
    </xf>
    <xf numFmtId="0" fontId="6" fillId="6" borderId="15" xfId="0" applyFont="1" applyFill="1" applyBorder="1" applyAlignment="1" applyProtection="1">
      <alignment horizontal="center" vertical="center"/>
    </xf>
    <xf numFmtId="0" fontId="6" fillId="6" borderId="16" xfId="0" applyFont="1" applyFill="1" applyBorder="1" applyAlignment="1" applyProtection="1">
      <alignment horizontal="center" vertical="center"/>
    </xf>
    <xf numFmtId="0" fontId="6" fillId="6" borderId="17" xfId="0" applyFont="1" applyFill="1" applyBorder="1" applyAlignment="1" applyProtection="1">
      <alignment horizontal="center" vertical="center"/>
    </xf>
    <xf numFmtId="0" fontId="3" fillId="6" borderId="15" xfId="0" applyFont="1" applyFill="1" applyBorder="1" applyAlignment="1" applyProtection="1">
      <alignment horizontal="center"/>
    </xf>
    <xf numFmtId="0" fontId="3" fillId="6" borderId="16" xfId="0" applyFont="1" applyFill="1" applyBorder="1" applyAlignment="1" applyProtection="1">
      <alignment horizontal="center"/>
    </xf>
    <xf numFmtId="0" fontId="3" fillId="6" borderId="5" xfId="0" applyFont="1" applyFill="1" applyBorder="1" applyAlignment="1" applyProtection="1">
      <alignment horizontal="center"/>
    </xf>
    <xf numFmtId="0" fontId="3" fillId="6" borderId="6" xfId="0" applyFont="1" applyFill="1" applyBorder="1" applyAlignment="1" applyProtection="1">
      <alignment horizontal="center"/>
    </xf>
    <xf numFmtId="0" fontId="5" fillId="0" borderId="1" xfId="0" quotePrefix="1" applyFont="1" applyBorder="1" applyAlignment="1" applyProtection="1">
      <alignment horizontal="center" vertical="center"/>
      <protection locked="0"/>
    </xf>
    <xf numFmtId="0" fontId="5" fillId="0" borderId="3" xfId="0" quotePrefix="1" applyFont="1" applyBorder="1" applyAlignment="1" applyProtection="1">
      <alignment horizontal="center" vertical="center"/>
      <protection locked="0"/>
    </xf>
    <xf numFmtId="0" fontId="5" fillId="0" borderId="15" xfId="0" quotePrefix="1" applyFont="1" applyBorder="1" applyAlignment="1" applyProtection="1">
      <alignment horizontal="center" vertical="center"/>
      <protection locked="0"/>
    </xf>
    <xf numFmtId="0" fontId="5" fillId="0" borderId="17" xfId="0" quotePrefix="1" applyFont="1" applyBorder="1" applyAlignment="1" applyProtection="1">
      <alignment horizontal="center" vertical="center"/>
      <protection locked="0"/>
    </xf>
    <xf numFmtId="49" fontId="6" fillId="6" borderId="4" xfId="0" applyNumberFormat="1" applyFont="1" applyFill="1" applyBorder="1" applyAlignment="1" applyProtection="1">
      <alignment horizontal="center" vertical="center"/>
    </xf>
    <xf numFmtId="49" fontId="6" fillId="6" borderId="5" xfId="0" applyNumberFormat="1" applyFont="1" applyFill="1" applyBorder="1" applyAlignment="1" applyProtection="1">
      <alignment horizontal="center" vertical="center"/>
    </xf>
    <xf numFmtId="49" fontId="6" fillId="6" borderId="6" xfId="0" applyNumberFormat="1" applyFont="1" applyFill="1" applyBorder="1" applyAlignment="1" applyProtection="1">
      <alignment horizontal="center" vertical="center"/>
    </xf>
    <xf numFmtId="0" fontId="6" fillId="6" borderId="51" xfId="0" applyFont="1" applyFill="1" applyBorder="1" applyAlignment="1" applyProtection="1">
      <alignment horizontal="center"/>
    </xf>
    <xf numFmtId="0" fontId="6" fillId="6" borderId="9" xfId="0" applyFont="1" applyFill="1" applyBorder="1" applyAlignment="1" applyProtection="1">
      <alignment horizontal="center"/>
    </xf>
    <xf numFmtId="0" fontId="6" fillId="6" borderId="50" xfId="0" applyFont="1" applyFill="1" applyBorder="1" applyAlignment="1" applyProtection="1">
      <alignment horizontal="center" vertical="center"/>
    </xf>
    <xf numFmtId="49" fontId="5" fillId="0" borderId="1" xfId="0" applyNumberFormat="1" applyFont="1" applyFill="1" applyBorder="1" applyAlignment="1" applyProtection="1">
      <alignment horizontal="center" vertical="center" wrapText="1"/>
      <protection locked="0"/>
    </xf>
    <xf numFmtId="49" fontId="5" fillId="0" borderId="3" xfId="0" applyNumberFormat="1" applyFont="1" applyFill="1" applyBorder="1" applyAlignment="1" applyProtection="1">
      <alignment horizontal="center" vertical="center" wrapText="1"/>
      <protection locked="0"/>
    </xf>
    <xf numFmtId="49" fontId="5" fillId="0" borderId="15" xfId="0" applyNumberFormat="1" applyFont="1" applyFill="1" applyBorder="1" applyAlignment="1" applyProtection="1">
      <alignment horizontal="center" vertical="center" wrapText="1"/>
      <protection locked="0"/>
    </xf>
    <xf numFmtId="49" fontId="5" fillId="0" borderId="17" xfId="0" applyNumberFormat="1" applyFont="1" applyFill="1" applyBorder="1" applyAlignment="1" applyProtection="1">
      <alignment horizontal="center" vertical="center" wrapText="1"/>
      <protection locked="0"/>
    </xf>
    <xf numFmtId="0" fontId="5" fillId="0" borderId="3" xfId="0" applyFont="1" applyBorder="1" applyAlignment="1" applyProtection="1">
      <alignment horizontal="center" vertical="center"/>
      <protection locked="0"/>
    </xf>
    <xf numFmtId="0" fontId="5" fillId="0" borderId="17" xfId="0" applyFont="1" applyBorder="1" applyAlignment="1" applyProtection="1">
      <alignment horizontal="center" vertical="center"/>
      <protection locked="0"/>
    </xf>
    <xf numFmtId="0" fontId="5" fillId="0" borderId="1" xfId="0" applyNumberFormat="1" applyFont="1" applyBorder="1" applyAlignment="1" applyProtection="1">
      <alignment horizontal="center" vertical="center"/>
      <protection locked="0"/>
    </xf>
    <xf numFmtId="0" fontId="5" fillId="0" borderId="2" xfId="0" applyNumberFormat="1" applyFont="1" applyBorder="1" applyAlignment="1" applyProtection="1">
      <alignment horizontal="center" vertical="center"/>
      <protection locked="0"/>
    </xf>
    <xf numFmtId="0" fontId="5" fillId="0" borderId="3" xfId="0" applyNumberFormat="1" applyFont="1" applyBorder="1" applyAlignment="1" applyProtection="1">
      <alignment horizontal="center" vertical="center"/>
      <protection locked="0"/>
    </xf>
    <xf numFmtId="0" fontId="5" fillId="0" borderId="15" xfId="0" applyNumberFormat="1" applyFont="1" applyBorder="1" applyAlignment="1" applyProtection="1">
      <alignment horizontal="center" vertical="center"/>
      <protection locked="0"/>
    </xf>
    <xf numFmtId="0" fontId="5" fillId="0" borderId="16" xfId="0" applyNumberFormat="1" applyFont="1" applyBorder="1" applyAlignment="1" applyProtection="1">
      <alignment horizontal="center" vertical="center"/>
      <protection locked="0"/>
    </xf>
    <xf numFmtId="0" fontId="5" fillId="0" borderId="17" xfId="0" applyNumberFormat="1" applyFont="1" applyBorder="1" applyAlignment="1" applyProtection="1">
      <alignment horizontal="center" vertical="center"/>
      <protection locked="0"/>
    </xf>
    <xf numFmtId="0" fontId="3" fillId="6" borderId="7" xfId="0" applyFont="1" applyFill="1" applyBorder="1" applyAlignment="1" applyProtection="1">
      <alignment horizontal="center" vertical="center"/>
    </xf>
    <xf numFmtId="0" fontId="3" fillId="6" borderId="8" xfId="0" applyFont="1" applyFill="1" applyBorder="1" applyAlignment="1" applyProtection="1">
      <alignment horizontal="center" vertical="center"/>
    </xf>
    <xf numFmtId="0" fontId="3" fillId="6" borderId="9" xfId="0" applyFont="1" applyFill="1" applyBorder="1" applyAlignment="1" applyProtection="1">
      <alignment horizontal="center" vertical="center"/>
    </xf>
    <xf numFmtId="0" fontId="5" fillId="0" borderId="1" xfId="0" applyNumberFormat="1" applyFont="1" applyFill="1" applyBorder="1" applyAlignment="1" applyProtection="1">
      <alignment horizontal="center" vertical="center"/>
      <protection locked="0"/>
    </xf>
    <xf numFmtId="0" fontId="5" fillId="0" borderId="2" xfId="0" applyNumberFormat="1" applyFont="1" applyFill="1" applyBorder="1" applyAlignment="1" applyProtection="1">
      <alignment horizontal="center" vertical="center"/>
      <protection locked="0"/>
    </xf>
    <xf numFmtId="0" fontId="5" fillId="0" borderId="3" xfId="0" applyNumberFormat="1" applyFont="1" applyFill="1" applyBorder="1" applyAlignment="1" applyProtection="1">
      <alignment horizontal="center" vertical="center"/>
      <protection locked="0"/>
    </xf>
    <xf numFmtId="0" fontId="5" fillId="0" borderId="15" xfId="0" applyNumberFormat="1" applyFont="1" applyFill="1" applyBorder="1" applyAlignment="1" applyProtection="1">
      <alignment horizontal="center" vertical="center"/>
      <protection locked="0"/>
    </xf>
    <xf numFmtId="0" fontId="5" fillId="0" borderId="1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49" fontId="5" fillId="0" borderId="25" xfId="0" applyNumberFormat="1" applyFont="1" applyBorder="1" applyAlignment="1" applyProtection="1">
      <alignment horizontal="center" vertical="center"/>
      <protection locked="0"/>
    </xf>
    <xf numFmtId="49" fontId="5" fillId="0" borderId="26" xfId="0" applyNumberFormat="1" applyFont="1" applyBorder="1" applyAlignment="1" applyProtection="1">
      <alignment horizontal="center" vertical="center"/>
      <protection locked="0"/>
    </xf>
    <xf numFmtId="0" fontId="6" fillId="4" borderId="0" xfId="0" applyFont="1" applyFill="1" applyBorder="1" applyAlignment="1" applyProtection="1">
      <alignment horizontal="right" vertical="center"/>
    </xf>
    <xf numFmtId="0" fontId="5" fillId="4" borderId="36" xfId="0" applyFont="1" applyFill="1" applyBorder="1" applyAlignment="1" applyProtection="1">
      <alignment horizontal="center" vertical="center" wrapText="1"/>
    </xf>
    <xf numFmtId="22" fontId="5" fillId="4" borderId="36" xfId="0" applyNumberFormat="1" applyFont="1" applyFill="1" applyBorder="1" applyAlignment="1" applyProtection="1">
      <alignment horizontal="center" vertical="center" wrapText="1"/>
    </xf>
    <xf numFmtId="49" fontId="5" fillId="7" borderId="62" xfId="1" applyNumberFormat="1" applyFont="1" applyBorder="1" applyAlignment="1" applyProtection="1">
      <alignment horizontal="left" vertical="top" wrapText="1"/>
    </xf>
    <xf numFmtId="49" fontId="5" fillId="7" borderId="63" xfId="1" applyNumberFormat="1" applyFont="1" applyBorder="1" applyAlignment="1" applyProtection="1">
      <alignment horizontal="left" vertical="top" wrapText="1"/>
    </xf>
    <xf numFmtId="49" fontId="5" fillId="7" borderId="64" xfId="1" applyNumberFormat="1" applyFont="1" applyBorder="1" applyAlignment="1" applyProtection="1">
      <alignment horizontal="left" vertical="top" wrapText="1"/>
    </xf>
    <xf numFmtId="49" fontId="5" fillId="7" borderId="65" xfId="1" applyNumberFormat="1" applyFont="1" applyBorder="1" applyAlignment="1" applyProtection="1">
      <alignment horizontal="left" vertical="top" wrapText="1"/>
    </xf>
    <xf numFmtId="49" fontId="5" fillId="7" borderId="58" xfId="1" applyNumberFormat="1" applyFont="1" applyBorder="1" applyAlignment="1" applyProtection="1">
      <alignment horizontal="left" vertical="top" wrapText="1"/>
    </xf>
    <xf numFmtId="49" fontId="5" fillId="7" borderId="66" xfId="1" applyNumberFormat="1" applyFont="1" applyBorder="1" applyAlignment="1" applyProtection="1">
      <alignment horizontal="left" vertical="top" wrapText="1"/>
    </xf>
    <xf numFmtId="49" fontId="5" fillId="7" borderId="69" xfId="1" applyNumberFormat="1" applyFont="1" applyBorder="1" applyAlignment="1" applyProtection="1">
      <alignment horizontal="left" vertical="top" wrapText="1"/>
    </xf>
    <xf numFmtId="49" fontId="5" fillId="7" borderId="61" xfId="1" applyNumberFormat="1" applyFont="1" applyBorder="1" applyAlignment="1" applyProtection="1">
      <alignment horizontal="left" vertical="top" wrapText="1"/>
    </xf>
    <xf numFmtId="49" fontId="5" fillId="7" borderId="70" xfId="1" applyNumberFormat="1" applyFont="1" applyBorder="1" applyAlignment="1" applyProtection="1">
      <alignment horizontal="left" vertical="top" wrapText="1"/>
    </xf>
    <xf numFmtId="49" fontId="5" fillId="7" borderId="59" xfId="1" applyNumberFormat="1" applyFont="1" applyBorder="1" applyAlignment="1" applyProtection="1">
      <alignment horizontal="left" vertical="top" wrapText="1"/>
    </xf>
    <xf numFmtId="49" fontId="5" fillId="7" borderId="0" xfId="1" applyNumberFormat="1" applyFont="1" applyBorder="1" applyAlignment="1" applyProtection="1">
      <alignment horizontal="left" vertical="top" wrapText="1"/>
    </xf>
    <xf numFmtId="49" fontId="5" fillId="7" borderId="60" xfId="1" applyNumberFormat="1" applyFont="1" applyBorder="1" applyAlignment="1" applyProtection="1">
      <alignment horizontal="left" vertical="top" wrapText="1"/>
    </xf>
    <xf numFmtId="49" fontId="5" fillId="7" borderId="67" xfId="1" applyNumberFormat="1" applyFont="1" applyBorder="1" applyAlignment="1" applyProtection="1">
      <alignment horizontal="left" vertical="top" wrapText="1"/>
    </xf>
    <xf numFmtId="49" fontId="5" fillId="7" borderId="36" xfId="1" applyNumberFormat="1" applyFont="1" applyBorder="1" applyAlignment="1" applyProtection="1">
      <alignment horizontal="left" vertical="top" wrapText="1"/>
    </xf>
    <xf numFmtId="49" fontId="5" fillId="7" borderId="68" xfId="1" applyNumberFormat="1" applyFont="1" applyBorder="1" applyAlignment="1" applyProtection="1">
      <alignment horizontal="left" vertical="top" wrapText="1"/>
    </xf>
    <xf numFmtId="0" fontId="5" fillId="0" borderId="52" xfId="0" applyNumberFormat="1" applyFont="1" applyBorder="1" applyAlignment="1" applyProtection="1">
      <alignment horizontal="center" vertical="center"/>
      <protection locked="0"/>
    </xf>
    <xf numFmtId="0" fontId="5" fillId="0" borderId="20" xfId="0" applyNumberFormat="1" applyFont="1" applyBorder="1" applyAlignment="1" applyProtection="1">
      <alignment horizontal="center" vertical="center"/>
      <protection locked="0"/>
    </xf>
    <xf numFmtId="0" fontId="5" fillId="0" borderId="31" xfId="0" applyNumberFormat="1" applyFont="1" applyBorder="1" applyAlignment="1" applyProtection="1">
      <alignment horizontal="center" vertical="center"/>
      <protection locked="0"/>
    </xf>
    <xf numFmtId="49" fontId="5" fillId="0" borderId="49" xfId="0" applyNumberFormat="1" applyFont="1" applyBorder="1" applyAlignment="1" applyProtection="1">
      <alignment horizontal="center" vertical="center"/>
      <protection locked="0"/>
    </xf>
    <xf numFmtId="0" fontId="5" fillId="0" borderId="52" xfId="0" applyFont="1" applyFill="1" applyBorder="1" applyAlignment="1" applyProtection="1">
      <alignment horizontal="center" vertical="center"/>
      <protection locked="0"/>
    </xf>
    <xf numFmtId="0" fontId="5" fillId="0" borderId="20" xfId="0" applyFont="1" applyFill="1" applyBorder="1" applyAlignment="1" applyProtection="1">
      <alignment horizontal="center" vertical="center"/>
      <protection locked="0"/>
    </xf>
    <xf numFmtId="0" fontId="5" fillId="0" borderId="31" xfId="0" applyFont="1" applyFill="1" applyBorder="1" applyAlignment="1" applyProtection="1">
      <alignment horizontal="center" vertical="center"/>
      <protection locked="0"/>
    </xf>
    <xf numFmtId="49" fontId="5" fillId="0" borderId="49" xfId="0" applyNumberFormat="1" applyFont="1" applyFill="1" applyBorder="1" applyAlignment="1" applyProtection="1">
      <alignment horizontal="center" vertical="center"/>
      <protection locked="0"/>
    </xf>
    <xf numFmtId="49" fontId="5" fillId="0" borderId="25" xfId="0" applyNumberFormat="1" applyFont="1" applyFill="1" applyBorder="1" applyAlignment="1" applyProtection="1">
      <alignment horizontal="center" vertical="center"/>
      <protection locked="0"/>
    </xf>
    <xf numFmtId="49" fontId="5" fillId="0" borderId="26" xfId="0" applyNumberFormat="1" applyFont="1" applyFill="1" applyBorder="1" applyAlignment="1" applyProtection="1">
      <alignment horizontal="center" vertical="center"/>
      <protection locked="0"/>
    </xf>
    <xf numFmtId="0" fontId="2" fillId="5" borderId="10" xfId="0" applyFont="1" applyFill="1" applyBorder="1" applyAlignment="1" applyProtection="1">
      <alignment horizontal="center" vertical="center"/>
    </xf>
    <xf numFmtId="0" fontId="2" fillId="5" borderId="0" xfId="0" applyFont="1" applyFill="1" applyBorder="1" applyAlignment="1" applyProtection="1">
      <alignment horizontal="center" vertical="center"/>
    </xf>
    <xf numFmtId="0" fontId="2" fillId="5" borderId="11" xfId="0" applyFont="1" applyFill="1" applyBorder="1" applyAlignment="1" applyProtection="1">
      <alignment horizontal="center" vertical="center"/>
    </xf>
    <xf numFmtId="41" fontId="5" fillId="4" borderId="1" xfId="0" applyNumberFormat="1" applyFont="1" applyFill="1" applyBorder="1" applyAlignment="1" applyProtection="1">
      <alignment horizontal="right" vertical="center"/>
      <protection locked="0"/>
    </xf>
    <xf numFmtId="41" fontId="5" fillId="4" borderId="2" xfId="0" applyNumberFormat="1" applyFont="1" applyFill="1" applyBorder="1" applyAlignment="1" applyProtection="1">
      <alignment horizontal="right" vertical="center"/>
      <protection locked="0"/>
    </xf>
    <xf numFmtId="41" fontId="5" fillId="4" borderId="15" xfId="0" applyNumberFormat="1" applyFont="1" applyFill="1" applyBorder="1" applyAlignment="1" applyProtection="1">
      <alignment horizontal="right" vertical="center"/>
      <protection locked="0"/>
    </xf>
    <xf numFmtId="41" fontId="5" fillId="4" borderId="16" xfId="0" applyNumberFormat="1" applyFont="1" applyFill="1" applyBorder="1" applyAlignment="1" applyProtection="1">
      <alignment horizontal="right" vertical="center"/>
      <protection locked="0"/>
    </xf>
    <xf numFmtId="0" fontId="5" fillId="4" borderId="3" xfId="0" applyFont="1" applyFill="1" applyBorder="1" applyAlignment="1" applyProtection="1">
      <alignment horizontal="center" vertical="center"/>
    </xf>
    <xf numFmtId="0" fontId="5" fillId="4" borderId="17" xfId="0" applyFont="1" applyFill="1" applyBorder="1" applyAlignment="1" applyProtection="1">
      <alignment horizontal="center" vertical="center"/>
    </xf>
    <xf numFmtId="0" fontId="12" fillId="0" borderId="38" xfId="0" applyFont="1" applyBorder="1" applyAlignment="1" applyProtection="1">
      <alignment horizontal="center" vertical="center"/>
    </xf>
    <xf numFmtId="49" fontId="8" fillId="0" borderId="0" xfId="0" applyNumberFormat="1" applyFont="1" applyAlignment="1" applyProtection="1">
      <alignment horizontal="center" vertical="center"/>
    </xf>
    <xf numFmtId="0" fontId="8" fillId="0" borderId="0" xfId="0" applyFont="1" applyAlignment="1" applyProtection="1">
      <alignment horizontal="center" vertical="center"/>
    </xf>
    <xf numFmtId="0" fontId="5" fillId="0" borderId="36" xfId="0" applyFont="1" applyBorder="1" applyAlignment="1" applyProtection="1">
      <alignment horizontal="center"/>
    </xf>
    <xf numFmtId="0" fontId="20" fillId="0" borderId="36" xfId="0" applyFont="1" applyBorder="1" applyAlignment="1" applyProtection="1">
      <alignment horizontal="center"/>
    </xf>
    <xf numFmtId="0" fontId="11" fillId="0" borderId="0" xfId="0" applyFont="1" applyAlignment="1" applyProtection="1">
      <alignment horizontal="center"/>
    </xf>
    <xf numFmtId="15" fontId="5" fillId="0" borderId="36" xfId="0" applyNumberFormat="1" applyFont="1" applyBorder="1" applyAlignment="1" applyProtection="1">
      <alignment horizontal="center"/>
    </xf>
    <xf numFmtId="0" fontId="5" fillId="0" borderId="36" xfId="0" applyFont="1" applyBorder="1" applyAlignment="1" applyProtection="1">
      <alignment horizontal="center"/>
      <protection locked="0"/>
    </xf>
    <xf numFmtId="0" fontId="20" fillId="0" borderId="36" xfId="0" applyFont="1" applyBorder="1" applyAlignment="1" applyProtection="1">
      <alignment horizontal="center"/>
      <protection locked="0"/>
    </xf>
    <xf numFmtId="0" fontId="12" fillId="0" borderId="0" xfId="0" applyFont="1" applyAlignment="1" applyProtection="1">
      <alignment horizontal="center" vertical="center"/>
    </xf>
    <xf numFmtId="0" fontId="7" fillId="0" borderId="0" xfId="0" applyFont="1" applyBorder="1" applyAlignment="1" applyProtection="1">
      <alignment horizontal="center" vertical="center"/>
    </xf>
    <xf numFmtId="0" fontId="13" fillId="0" borderId="0" xfId="0" applyNumberFormat="1" applyFont="1" applyAlignment="1" applyProtection="1">
      <alignment horizontal="center" vertical="center"/>
    </xf>
    <xf numFmtId="0" fontId="14" fillId="0" borderId="0" xfId="0" applyFont="1" applyAlignment="1" applyProtection="1">
      <alignment horizontal="center" vertical="center"/>
    </xf>
    <xf numFmtId="0" fontId="5" fillId="0" borderId="0" xfId="0" applyFont="1" applyAlignment="1" applyProtection="1">
      <alignment horizontal="left" vertical="top" wrapText="1"/>
      <protection locked="0"/>
    </xf>
    <xf numFmtId="0" fontId="20" fillId="0" borderId="0" xfId="0" applyFont="1" applyAlignment="1" applyProtection="1">
      <alignment horizontal="left" vertical="top"/>
      <protection locked="0"/>
    </xf>
    <xf numFmtId="0" fontId="5" fillId="0" borderId="0" xfId="0" applyFont="1" applyBorder="1" applyAlignment="1" applyProtection="1">
      <alignment horizontal="center" vertical="top"/>
    </xf>
    <xf numFmtId="0" fontId="20" fillId="0" borderId="36" xfId="0" applyFont="1" applyBorder="1" applyAlignment="1" applyProtection="1">
      <alignment horizontal="center" vertical="top"/>
    </xf>
    <xf numFmtId="49" fontId="0" fillId="12" borderId="4" xfId="0" applyNumberFormat="1" applyFill="1" applyBorder="1" applyAlignment="1" applyProtection="1">
      <alignment horizontal="left" vertical="center"/>
      <protection locked="0"/>
    </xf>
    <xf numFmtId="49" fontId="0" fillId="12" borderId="5" xfId="0" applyNumberFormat="1" applyFill="1" applyBorder="1" applyAlignment="1" applyProtection="1">
      <alignment horizontal="left" vertical="center"/>
      <protection locked="0"/>
    </xf>
    <xf numFmtId="49" fontId="0" fillId="12" borderId="6" xfId="0" applyNumberFormat="1" applyFill="1" applyBorder="1" applyAlignment="1" applyProtection="1">
      <alignment horizontal="left" vertical="center"/>
      <protection locked="0"/>
    </xf>
    <xf numFmtId="0" fontId="0" fillId="0" borderId="0" xfId="0" applyNumberFormat="1" applyFill="1" applyBorder="1" applyAlignment="1" applyProtection="1">
      <alignment horizontal="center" vertical="center"/>
      <protection locked="0"/>
    </xf>
    <xf numFmtId="0" fontId="31" fillId="12" borderId="0" xfId="0" applyNumberFormat="1" applyFont="1" applyFill="1" applyBorder="1" applyAlignment="1">
      <alignment horizontal="center" vertical="center"/>
    </xf>
    <xf numFmtId="0" fontId="1" fillId="5" borderId="7" xfId="0" applyNumberFormat="1" applyFont="1" applyFill="1" applyBorder="1" applyAlignment="1">
      <alignment horizontal="center" vertical="center"/>
    </xf>
    <xf numFmtId="0" fontId="1" fillId="5" borderId="8" xfId="0" applyNumberFormat="1" applyFont="1" applyFill="1" applyBorder="1" applyAlignment="1">
      <alignment horizontal="center" vertical="center"/>
    </xf>
    <xf numFmtId="0" fontId="1" fillId="5" borderId="9" xfId="0" applyNumberFormat="1" applyFont="1" applyFill="1" applyBorder="1" applyAlignment="1">
      <alignment horizontal="center" vertical="center"/>
    </xf>
    <xf numFmtId="0" fontId="25" fillId="3" borderId="7" xfId="0" applyFont="1" applyFill="1" applyBorder="1" applyAlignment="1" applyProtection="1">
      <alignment horizontal="center" vertical="center"/>
    </xf>
    <xf numFmtId="0" fontId="25" fillId="3" borderId="8" xfId="0" applyFont="1" applyFill="1" applyBorder="1" applyAlignment="1" applyProtection="1">
      <alignment horizontal="center" vertical="center"/>
    </xf>
    <xf numFmtId="0" fontId="25" fillId="3" borderId="9" xfId="0" applyFont="1" applyFill="1" applyBorder="1" applyAlignment="1" applyProtection="1">
      <alignment horizontal="center" vertical="center"/>
    </xf>
    <xf numFmtId="0" fontId="25" fillId="8" borderId="82" xfId="0" applyFont="1" applyFill="1" applyBorder="1" applyAlignment="1" applyProtection="1">
      <alignment horizontal="left" vertical="center" wrapText="1"/>
    </xf>
    <xf numFmtId="0" fontId="25" fillId="8" borderId="83" xfId="0" applyFont="1" applyFill="1" applyBorder="1" applyAlignment="1" applyProtection="1">
      <alignment horizontal="left" vertical="center" wrapText="1"/>
    </xf>
    <xf numFmtId="0" fontId="25" fillId="8" borderId="84" xfId="0" applyFont="1" applyFill="1" applyBorder="1" applyAlignment="1" applyProtection="1">
      <alignment horizontal="left" vertical="center" wrapText="1"/>
    </xf>
    <xf numFmtId="0" fontId="25" fillId="8" borderId="12" xfId="0" applyFont="1" applyFill="1" applyBorder="1" applyAlignment="1" applyProtection="1">
      <alignment horizontal="left" vertical="center" wrapText="1"/>
    </xf>
    <xf numFmtId="0" fontId="25" fillId="8" borderId="13" xfId="0" applyFont="1" applyFill="1" applyBorder="1" applyAlignment="1" applyProtection="1">
      <alignment horizontal="left" vertical="center" wrapText="1"/>
    </xf>
    <xf numFmtId="0" fontId="25" fillId="8" borderId="14" xfId="0" applyFont="1" applyFill="1" applyBorder="1" applyAlignment="1" applyProtection="1">
      <alignment horizontal="left" vertical="center" wrapText="1"/>
    </xf>
    <xf numFmtId="0" fontId="25" fillId="8" borderId="19" xfId="0" applyFont="1" applyFill="1" applyBorder="1" applyAlignment="1" applyProtection="1">
      <alignment horizontal="left" vertical="center" wrapText="1"/>
    </xf>
    <xf numFmtId="0" fontId="25" fillId="8" borderId="20" xfId="0" applyFont="1" applyFill="1" applyBorder="1" applyAlignment="1" applyProtection="1">
      <alignment horizontal="left" vertical="center" wrapText="1"/>
    </xf>
    <xf numFmtId="0" fontId="25" fillId="8" borderId="31" xfId="0" applyFont="1" applyFill="1" applyBorder="1" applyAlignment="1" applyProtection="1">
      <alignment horizontal="left" vertical="center" wrapText="1"/>
    </xf>
    <xf numFmtId="0" fontId="8" fillId="13" borderId="1" xfId="0" applyFont="1" applyFill="1" applyBorder="1" applyAlignment="1" applyProtection="1">
      <alignment horizontal="center" vertical="center"/>
    </xf>
    <xf numFmtId="0" fontId="8" fillId="13" borderId="2" xfId="0" applyFont="1" applyFill="1" applyBorder="1" applyAlignment="1" applyProtection="1">
      <alignment horizontal="center" vertical="center"/>
    </xf>
    <xf numFmtId="0" fontId="8" fillId="13" borderId="3" xfId="0" applyFont="1" applyFill="1" applyBorder="1" applyAlignment="1" applyProtection="1">
      <alignment horizontal="center" vertical="center"/>
    </xf>
    <xf numFmtId="49" fontId="0" fillId="13" borderId="1" xfId="0" applyNumberFormat="1" applyFill="1" applyBorder="1" applyAlignment="1" applyProtection="1">
      <alignment horizontal="left" vertical="top" wrapText="1"/>
      <protection locked="0"/>
    </xf>
    <xf numFmtId="49" fontId="0" fillId="13" borderId="2" xfId="0" applyNumberFormat="1" applyFill="1" applyBorder="1" applyAlignment="1" applyProtection="1">
      <alignment horizontal="left" vertical="top" wrapText="1"/>
      <protection locked="0"/>
    </xf>
    <xf numFmtId="49" fontId="0" fillId="13" borderId="3" xfId="0" applyNumberFormat="1" applyFill="1" applyBorder="1" applyAlignment="1" applyProtection="1">
      <alignment horizontal="left" vertical="top" wrapText="1"/>
      <protection locked="0"/>
    </xf>
    <xf numFmtId="49" fontId="0" fillId="13" borderId="10" xfId="0" applyNumberFormat="1" applyFill="1" applyBorder="1" applyAlignment="1" applyProtection="1">
      <alignment horizontal="left" vertical="top" wrapText="1"/>
      <protection locked="0"/>
    </xf>
    <xf numFmtId="49" fontId="0" fillId="13" borderId="0" xfId="0" applyNumberFormat="1" applyFill="1" applyBorder="1" applyAlignment="1" applyProtection="1">
      <alignment horizontal="left" vertical="top" wrapText="1"/>
      <protection locked="0"/>
    </xf>
    <xf numFmtId="49" fontId="0" fillId="13" borderId="11" xfId="0" applyNumberFormat="1" applyFill="1" applyBorder="1" applyAlignment="1" applyProtection="1">
      <alignment horizontal="left" vertical="top" wrapText="1"/>
      <protection locked="0"/>
    </xf>
    <xf numFmtId="49" fontId="0" fillId="13" borderId="15" xfId="0" applyNumberFormat="1" applyFill="1" applyBorder="1" applyAlignment="1" applyProtection="1">
      <alignment horizontal="left" vertical="top" wrapText="1"/>
      <protection locked="0"/>
    </xf>
    <xf numFmtId="49" fontId="0" fillId="13" borderId="16" xfId="0" applyNumberFormat="1" applyFill="1" applyBorder="1" applyAlignment="1" applyProtection="1">
      <alignment horizontal="left" vertical="top" wrapText="1"/>
      <protection locked="0"/>
    </xf>
    <xf numFmtId="49" fontId="0" fillId="13" borderId="17" xfId="0" applyNumberFormat="1" applyFill="1" applyBorder="1" applyAlignment="1" applyProtection="1">
      <alignment horizontal="left" vertical="top" wrapText="1"/>
      <protection locked="0"/>
    </xf>
    <xf numFmtId="49" fontId="1" fillId="5" borderId="4" xfId="0" applyNumberFormat="1" applyFont="1" applyFill="1" applyBorder="1" applyAlignment="1">
      <alignment horizontal="center" vertical="center"/>
    </xf>
    <xf numFmtId="49" fontId="1" fillId="5" borderId="5" xfId="0" applyNumberFormat="1" applyFont="1" applyFill="1" applyBorder="1" applyAlignment="1">
      <alignment horizontal="center" vertical="center"/>
    </xf>
    <xf numFmtId="49" fontId="1" fillId="5" borderId="6" xfId="0" applyNumberFormat="1" applyFont="1" applyFill="1" applyBorder="1" applyAlignment="1">
      <alignment horizontal="center" vertical="center"/>
    </xf>
  </cellXfs>
  <cellStyles count="3">
    <cellStyle name="Hyperlink" xfId="2" builtinId="8"/>
    <cellStyle name="Normal" xfId="0" builtinId="0"/>
    <cellStyle name="Note" xfId="1" builtinId="10"/>
  </cellStyles>
  <dxfs count="81">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right/>
        <top style="thin">
          <color indexed="64"/>
        </top>
        <bottom/>
      </border>
      <protection locked="0" hidden="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scheme val="minor"/>
      </font>
      <fill>
        <patternFill patternType="solid">
          <fgColor indexed="64"/>
          <bgColor theme="4" tint="0.59999389629810485"/>
        </patternFill>
      </fill>
      <protection locked="0" hidden="0"/>
    </dxf>
    <dxf>
      <border outline="0">
        <bottom style="medium">
          <color indexed="64"/>
        </bottom>
      </border>
    </dxf>
    <dxf>
      <font>
        <b/>
        <i val="0"/>
        <strike val="0"/>
        <condense val="0"/>
        <extend val="0"/>
        <outline val="0"/>
        <shadow val="0"/>
        <u val="none"/>
        <vertAlign val="baseline"/>
        <sz val="11"/>
        <color auto="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medium">
          <color indexed="64"/>
        </left>
        <right style="medium">
          <color indexed="64"/>
        </right>
        <top/>
        <bottom/>
      </border>
      <protection locked="0" hidden="0"/>
    </dxf>
    <dxf>
      <fill>
        <patternFill>
          <bgColor rgb="FFFFFF00"/>
        </patternFill>
      </fill>
    </dxf>
    <dxf>
      <fill>
        <patternFill>
          <bgColor rgb="FFFFFF00"/>
        </patternFill>
      </fill>
    </dxf>
    <dxf>
      <font>
        <color theme="0" tint="-0.14996795556505021"/>
      </font>
      <fill>
        <patternFill>
          <bgColor theme="0" tint="-0.14996795556505021"/>
        </patternFill>
      </fill>
      <border>
        <left/>
        <top/>
        <bottom/>
        <vertical/>
        <horizontal/>
      </border>
    </dxf>
    <dxf>
      <font>
        <color theme="0" tint="-0.14996795556505021"/>
      </font>
      <fill>
        <patternFill>
          <bgColor theme="0" tint="-0.14996795556505021"/>
        </patternFill>
      </fill>
      <border>
        <right/>
        <top/>
        <bottom/>
        <vertical/>
        <horizontal/>
      </border>
    </dxf>
    <dxf>
      <font>
        <color theme="0" tint="-0.14996795556505021"/>
      </font>
      <fill>
        <patternFill>
          <bgColor theme="0" tint="-0.14996795556505021"/>
        </patternFill>
      </fill>
      <border>
        <bottom/>
        <vertical/>
        <horizontal/>
      </border>
    </dxf>
    <dxf>
      <fill>
        <patternFill>
          <bgColor rgb="FFFFFF00"/>
        </patternFill>
      </fill>
    </dxf>
    <dxf>
      <font>
        <color theme="0" tint="-0.14996795556505021"/>
      </font>
      <fill>
        <patternFill>
          <bgColor theme="0" tint="-0.14996795556505021"/>
        </patternFill>
      </fill>
      <border>
        <left/>
        <top/>
        <vertical/>
        <horizontal/>
      </border>
    </dxf>
    <dxf>
      <fill>
        <patternFill>
          <bgColor rgb="FFFFFF00"/>
        </patternFill>
      </fill>
    </dxf>
    <dxf>
      <font>
        <color theme="0" tint="-0.14996795556505021"/>
      </font>
      <fill>
        <patternFill>
          <bgColor theme="0" tint="-0.14996795556505021"/>
        </patternFill>
      </fill>
      <border>
        <right/>
        <top/>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6795556505021"/>
      </font>
      <fill>
        <patternFill>
          <bgColor theme="0" tint="-0.14996795556505021"/>
        </patternFill>
      </fill>
      <border>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6795556505021"/>
      </font>
      <fill>
        <patternFill>
          <bgColor theme="0" tint="-0.14996795556505021"/>
        </patternFill>
      </fill>
      <border>
        <left/>
        <vertical/>
        <horizontal/>
      </border>
    </dxf>
    <dxf>
      <fill>
        <patternFill>
          <bgColor rgb="FFFFFF00"/>
        </patternFill>
      </fill>
    </dxf>
    <dxf>
      <font>
        <color theme="0" tint="-0.14996795556505021"/>
      </font>
      <numFmt numFmtId="166" formatCode=";;;"/>
      <fill>
        <patternFill>
          <bgColor theme="0" tint="-0.14996795556505021"/>
        </patternFill>
      </fill>
      <border>
        <right/>
        <vertical/>
        <horizontal/>
      </border>
    </dxf>
    <dxf>
      <font>
        <color theme="5"/>
      </font>
    </dxf>
    <dxf>
      <font>
        <color rgb="FFFF0000"/>
      </font>
    </dxf>
    <dxf>
      <font>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ctrlProps/ctrlProp24.xml><?xml version="1.0" encoding="utf-8"?>
<formControlPr xmlns="http://schemas.microsoft.com/office/spreadsheetml/2009/9/main" objectType="CheckBox" lockText="1"/>
</file>

<file path=xl/ctrlProps/ctrlProp25.xml><?xml version="1.0" encoding="utf-8"?>
<formControlPr xmlns="http://schemas.microsoft.com/office/spreadsheetml/2009/9/main" objectType="CheckBox"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7" name="Picture 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8" name="Picture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twoCellAnchor editAs="oneCell">
    <xdr:from>
      <xdr:col>10</xdr:col>
      <xdr:colOff>47625</xdr:colOff>
      <xdr:row>1</xdr:row>
      <xdr:rowOff>19050</xdr:rowOff>
    </xdr:from>
    <xdr:to>
      <xdr:col>17</xdr:col>
      <xdr:colOff>391168</xdr:colOff>
      <xdr:row>2</xdr:row>
      <xdr:rowOff>152445</xdr:rowOff>
    </xdr:to>
    <xdr:pic>
      <xdr:nvPicPr>
        <xdr:cNvPr id="9" name="Picture 8">
          <a:extLst>
            <a:ext uri="{FF2B5EF4-FFF2-40B4-BE49-F238E27FC236}">
              <a16:creationId xmlns=""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0" name="Picture 9">
          <a:extLst>
            <a:ext uri="{FF2B5EF4-FFF2-40B4-BE49-F238E27FC236}">
              <a16:creationId xmlns="" xmlns:a16="http://schemas.microsoft.com/office/drawing/2014/main"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1" name="Picture 10">
          <a:extLst>
            <a:ext uri="{FF2B5EF4-FFF2-40B4-BE49-F238E27FC236}">
              <a16:creationId xmlns=""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2" name="Picture 11">
          <a:extLst>
            <a:ext uri="{FF2B5EF4-FFF2-40B4-BE49-F238E27FC236}">
              <a16:creationId xmlns="" xmlns:a16="http://schemas.microsoft.com/office/drawing/2014/main"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xdr:colOff>
          <xdr:row>85</xdr:row>
          <xdr:rowOff>9525</xdr:rowOff>
        </xdr:from>
        <xdr:to>
          <xdr:col>19</xdr:col>
          <xdr:colOff>361950</xdr:colOff>
          <xdr:row>85</xdr:row>
          <xdr:rowOff>190500</xdr:rowOff>
        </xdr:to>
        <xdr:sp macro="" textlink="">
          <xdr:nvSpPr>
            <xdr:cNvPr id="2139" name="Button 91" hidden="1">
              <a:extLst>
                <a:ext uri="{63B3BB69-23CF-44E3-9099-C40C66FF867C}">
                  <a14:compatExt spid="_x0000_s2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SNCOIC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87</xdr:row>
          <xdr:rowOff>9525</xdr:rowOff>
        </xdr:from>
        <xdr:to>
          <xdr:col>19</xdr:col>
          <xdr:colOff>361950</xdr:colOff>
          <xdr:row>87</xdr:row>
          <xdr:rowOff>190500</xdr:rowOff>
        </xdr:to>
        <xdr:sp macro="" textlink="">
          <xdr:nvSpPr>
            <xdr:cNvPr id="2140" name="Button 92" hidden="1">
              <a:extLst>
                <a:ext uri="{63B3BB69-23CF-44E3-9099-C40C66FF867C}">
                  <a14:compatExt spid="_x0000_s2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OIC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89</xdr:row>
          <xdr:rowOff>9525</xdr:rowOff>
        </xdr:from>
        <xdr:to>
          <xdr:col>19</xdr:col>
          <xdr:colOff>361950</xdr:colOff>
          <xdr:row>89</xdr:row>
          <xdr:rowOff>190500</xdr:rowOff>
        </xdr:to>
        <xdr:sp macro="" textlink="">
          <xdr:nvSpPr>
            <xdr:cNvPr id="2142" name="Button 94" hidden="1">
              <a:extLst>
                <a:ext uri="{63B3BB69-23CF-44E3-9099-C40C66FF867C}">
                  <a14:compatExt spid="_x0000_s2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1stSgt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91</xdr:row>
          <xdr:rowOff>9525</xdr:rowOff>
        </xdr:from>
        <xdr:to>
          <xdr:col>19</xdr:col>
          <xdr:colOff>361950</xdr:colOff>
          <xdr:row>91</xdr:row>
          <xdr:rowOff>190500</xdr:rowOff>
        </xdr:to>
        <xdr:sp macro="" textlink="">
          <xdr:nvSpPr>
            <xdr:cNvPr id="2143" name="Button 95" hidden="1">
              <a:extLst>
                <a:ext uri="{63B3BB69-23CF-44E3-9099-C40C66FF867C}">
                  <a14:compatExt spid="_x0000_s2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94</xdr:row>
          <xdr:rowOff>9525</xdr:rowOff>
        </xdr:from>
        <xdr:to>
          <xdr:col>19</xdr:col>
          <xdr:colOff>361950</xdr:colOff>
          <xdr:row>94</xdr:row>
          <xdr:rowOff>190500</xdr:rowOff>
        </xdr:to>
        <xdr:sp macro="" textlink="">
          <xdr:nvSpPr>
            <xdr:cNvPr id="2145" name="Button 97" hidden="1">
              <a:extLst>
                <a:ext uri="{63B3BB69-23CF-44E3-9099-C40C66FF867C}">
                  <a14:compatExt spid="_x0000_s2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200025</xdr:colOff>
          <xdr:row>0</xdr:row>
          <xdr:rowOff>28575</xdr:rowOff>
        </xdr:from>
        <xdr:to>
          <xdr:col>19</xdr:col>
          <xdr:colOff>161925</xdr:colOff>
          <xdr:row>1</xdr:row>
          <xdr:rowOff>114300</xdr:rowOff>
        </xdr:to>
        <xdr:sp macro="" textlink="">
          <xdr:nvSpPr>
            <xdr:cNvPr id="2151" name="Button 103" hidden="1">
              <a:extLst>
                <a:ext uri="{63B3BB69-23CF-44E3-9099-C40C66FF867C}">
                  <a14:compatExt spid="_x0000_s2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HARP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78574</xdr:colOff>
          <xdr:row>57</xdr:row>
          <xdr:rowOff>0</xdr:rowOff>
        </xdr:from>
        <xdr:to>
          <xdr:col>5</xdr:col>
          <xdr:colOff>300013</xdr:colOff>
          <xdr:row>62</xdr:row>
          <xdr:rowOff>161941</xdr:rowOff>
        </xdr:to>
        <xdr:grpSp>
          <xdr:nvGrpSpPr>
            <xdr:cNvPr id="8" name="Group 7"/>
            <xdr:cNvGrpSpPr/>
          </xdr:nvGrpSpPr>
          <xdr:grpSpPr>
            <a:xfrm>
              <a:off x="1602574" y="9591675"/>
              <a:ext cx="602439" cy="971566"/>
              <a:chOff x="1602574" y="9391650"/>
              <a:chExt cx="602439" cy="971566"/>
            </a:xfrm>
          </xdr:grpSpPr>
          <xdr:sp macro="" textlink="">
            <xdr:nvSpPr>
              <xdr:cNvPr id="2154" name="Check Box 106" hidden="1">
                <a:extLst>
                  <a:ext uri="{63B3BB69-23CF-44E3-9099-C40C66FF867C}">
                    <a14:compatExt spid="_x0000_s2154"/>
                  </a:ext>
                </a:extLst>
              </xdr:cNvPr>
              <xdr:cNvSpPr/>
            </xdr:nvSpPr>
            <xdr:spPr bwMode="auto">
              <a:xfrm>
                <a:off x="1602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55" name="Check Box 107" hidden="1">
                <a:extLst>
                  <a:ext uri="{63B3BB69-23CF-44E3-9099-C40C66FF867C}">
                    <a14:compatExt spid="_x0000_s2155"/>
                  </a:ext>
                </a:extLst>
              </xdr:cNvPr>
              <xdr:cNvSpPr/>
            </xdr:nvSpPr>
            <xdr:spPr bwMode="auto">
              <a:xfrm>
                <a:off x="1985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2" name="Check Box 164" hidden="1">
                <a:extLst>
                  <a:ext uri="{63B3BB69-23CF-44E3-9099-C40C66FF867C}">
                    <a14:compatExt spid="_x0000_s2212"/>
                  </a:ext>
                </a:extLst>
              </xdr:cNvPr>
              <xdr:cNvSpPr/>
            </xdr:nvSpPr>
            <xdr:spPr bwMode="auto">
              <a:xfrm>
                <a:off x="1602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3" name="Check Box 165" hidden="1">
                <a:extLst>
                  <a:ext uri="{63B3BB69-23CF-44E3-9099-C40C66FF867C}">
                    <a14:compatExt spid="_x0000_s2213"/>
                  </a:ext>
                </a:extLst>
              </xdr:cNvPr>
              <xdr:cNvSpPr/>
            </xdr:nvSpPr>
            <xdr:spPr bwMode="auto">
              <a:xfrm>
                <a:off x="1985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4" name="Check Box 166" hidden="1">
                <a:extLst>
                  <a:ext uri="{63B3BB69-23CF-44E3-9099-C40C66FF867C}">
                    <a14:compatExt spid="_x0000_s2214"/>
                  </a:ext>
                </a:extLst>
              </xdr:cNvPr>
              <xdr:cNvSpPr/>
            </xdr:nvSpPr>
            <xdr:spPr bwMode="auto">
              <a:xfrm>
                <a:off x="1602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5" name="Check Box 167" hidden="1">
                <a:extLst>
                  <a:ext uri="{63B3BB69-23CF-44E3-9099-C40C66FF867C}">
                    <a14:compatExt spid="_x0000_s2215"/>
                  </a:ext>
                </a:extLst>
              </xdr:cNvPr>
              <xdr:cNvSpPr/>
            </xdr:nvSpPr>
            <xdr:spPr bwMode="auto">
              <a:xfrm>
                <a:off x="1985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6" name="Check Box 168" hidden="1">
                <a:extLst>
                  <a:ext uri="{63B3BB69-23CF-44E3-9099-C40C66FF867C}">
                    <a14:compatExt spid="_x0000_s2216"/>
                  </a:ext>
                </a:extLst>
              </xdr:cNvPr>
              <xdr:cNvSpPr/>
            </xdr:nvSpPr>
            <xdr:spPr bwMode="auto">
              <a:xfrm>
                <a:off x="1602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7" name="Check Box 169" hidden="1">
                <a:extLst>
                  <a:ext uri="{63B3BB69-23CF-44E3-9099-C40C66FF867C}">
                    <a14:compatExt spid="_x0000_s2217"/>
                  </a:ext>
                </a:extLst>
              </xdr:cNvPr>
              <xdr:cNvSpPr/>
            </xdr:nvSpPr>
            <xdr:spPr bwMode="auto">
              <a:xfrm>
                <a:off x="1985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8" name="Check Box 170" hidden="1">
                <a:extLst>
                  <a:ext uri="{63B3BB69-23CF-44E3-9099-C40C66FF867C}">
                    <a14:compatExt spid="_x0000_s2218"/>
                  </a:ext>
                </a:extLst>
              </xdr:cNvPr>
              <xdr:cNvSpPr/>
            </xdr:nvSpPr>
            <xdr:spPr bwMode="auto">
              <a:xfrm>
                <a:off x="1602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9" name="Check Box 171" hidden="1">
                <a:extLst>
                  <a:ext uri="{63B3BB69-23CF-44E3-9099-C40C66FF867C}">
                    <a14:compatExt spid="_x0000_s2219"/>
                  </a:ext>
                </a:extLst>
              </xdr:cNvPr>
              <xdr:cNvSpPr/>
            </xdr:nvSpPr>
            <xdr:spPr bwMode="auto">
              <a:xfrm>
                <a:off x="1985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0" name="Check Box 172" hidden="1">
                <a:extLst>
                  <a:ext uri="{63B3BB69-23CF-44E3-9099-C40C66FF867C}">
                    <a14:compatExt spid="_x0000_s2220"/>
                  </a:ext>
                </a:extLst>
              </xdr:cNvPr>
              <xdr:cNvSpPr/>
            </xdr:nvSpPr>
            <xdr:spPr bwMode="auto">
              <a:xfrm>
                <a:off x="1602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1" name="Check Box 173" hidden="1">
                <a:extLst>
                  <a:ext uri="{63B3BB69-23CF-44E3-9099-C40C66FF867C}">
                    <a14:compatExt spid="_x0000_s2221"/>
                  </a:ext>
                </a:extLst>
              </xdr:cNvPr>
              <xdr:cNvSpPr/>
            </xdr:nvSpPr>
            <xdr:spPr bwMode="auto">
              <a:xfrm>
                <a:off x="1985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78574</xdr:colOff>
          <xdr:row>57</xdr:row>
          <xdr:rowOff>0</xdr:rowOff>
        </xdr:from>
        <xdr:to>
          <xdr:col>12</xdr:col>
          <xdr:colOff>300013</xdr:colOff>
          <xdr:row>62</xdr:row>
          <xdr:rowOff>161941</xdr:rowOff>
        </xdr:to>
        <xdr:grpSp>
          <xdr:nvGrpSpPr>
            <xdr:cNvPr id="3" name="Group 2"/>
            <xdr:cNvGrpSpPr/>
          </xdr:nvGrpSpPr>
          <xdr:grpSpPr>
            <a:xfrm>
              <a:off x="4269574" y="9591675"/>
              <a:ext cx="602439" cy="971566"/>
              <a:chOff x="4269574" y="9391650"/>
              <a:chExt cx="602439" cy="971566"/>
            </a:xfrm>
          </xdr:grpSpPr>
          <xdr:sp macro="" textlink="">
            <xdr:nvSpPr>
              <xdr:cNvPr id="2222" name="Check Box 174" hidden="1">
                <a:extLst>
                  <a:ext uri="{63B3BB69-23CF-44E3-9099-C40C66FF867C}">
                    <a14:compatExt spid="_x0000_s2222"/>
                  </a:ext>
                </a:extLst>
              </xdr:cNvPr>
              <xdr:cNvSpPr/>
            </xdr:nvSpPr>
            <xdr:spPr bwMode="auto">
              <a:xfrm>
                <a:off x="4269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3" name="Check Box 175" hidden="1">
                <a:extLst>
                  <a:ext uri="{63B3BB69-23CF-44E3-9099-C40C66FF867C}">
                    <a14:compatExt spid="_x0000_s2223"/>
                  </a:ext>
                </a:extLst>
              </xdr:cNvPr>
              <xdr:cNvSpPr/>
            </xdr:nvSpPr>
            <xdr:spPr bwMode="auto">
              <a:xfrm>
                <a:off x="4652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4" name="Check Box 176" hidden="1">
                <a:extLst>
                  <a:ext uri="{63B3BB69-23CF-44E3-9099-C40C66FF867C}">
                    <a14:compatExt spid="_x0000_s2224"/>
                  </a:ext>
                </a:extLst>
              </xdr:cNvPr>
              <xdr:cNvSpPr/>
            </xdr:nvSpPr>
            <xdr:spPr bwMode="auto">
              <a:xfrm>
                <a:off x="4269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5" name="Check Box 177" hidden="1">
                <a:extLst>
                  <a:ext uri="{63B3BB69-23CF-44E3-9099-C40C66FF867C}">
                    <a14:compatExt spid="_x0000_s2225"/>
                  </a:ext>
                </a:extLst>
              </xdr:cNvPr>
              <xdr:cNvSpPr/>
            </xdr:nvSpPr>
            <xdr:spPr bwMode="auto">
              <a:xfrm>
                <a:off x="4652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6" name="Check Box 178" hidden="1">
                <a:extLst>
                  <a:ext uri="{63B3BB69-23CF-44E3-9099-C40C66FF867C}">
                    <a14:compatExt spid="_x0000_s2226"/>
                  </a:ext>
                </a:extLst>
              </xdr:cNvPr>
              <xdr:cNvSpPr/>
            </xdr:nvSpPr>
            <xdr:spPr bwMode="auto">
              <a:xfrm>
                <a:off x="4269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7" name="Check Box 179" hidden="1">
                <a:extLst>
                  <a:ext uri="{63B3BB69-23CF-44E3-9099-C40C66FF867C}">
                    <a14:compatExt spid="_x0000_s2227"/>
                  </a:ext>
                </a:extLst>
              </xdr:cNvPr>
              <xdr:cNvSpPr/>
            </xdr:nvSpPr>
            <xdr:spPr bwMode="auto">
              <a:xfrm>
                <a:off x="4652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8" name="Check Box 180" hidden="1">
                <a:extLst>
                  <a:ext uri="{63B3BB69-23CF-44E3-9099-C40C66FF867C}">
                    <a14:compatExt spid="_x0000_s2228"/>
                  </a:ext>
                </a:extLst>
              </xdr:cNvPr>
              <xdr:cNvSpPr/>
            </xdr:nvSpPr>
            <xdr:spPr bwMode="auto">
              <a:xfrm>
                <a:off x="4269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9" name="Check Box 181" hidden="1">
                <a:extLst>
                  <a:ext uri="{63B3BB69-23CF-44E3-9099-C40C66FF867C}">
                    <a14:compatExt spid="_x0000_s2229"/>
                  </a:ext>
                </a:extLst>
              </xdr:cNvPr>
              <xdr:cNvSpPr/>
            </xdr:nvSpPr>
            <xdr:spPr bwMode="auto">
              <a:xfrm>
                <a:off x="4652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0" name="Check Box 182" hidden="1">
                <a:extLst>
                  <a:ext uri="{63B3BB69-23CF-44E3-9099-C40C66FF867C}">
                    <a14:compatExt spid="_x0000_s2230"/>
                  </a:ext>
                </a:extLst>
              </xdr:cNvPr>
              <xdr:cNvSpPr/>
            </xdr:nvSpPr>
            <xdr:spPr bwMode="auto">
              <a:xfrm>
                <a:off x="4269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1" name="Check Box 183" hidden="1">
                <a:extLst>
                  <a:ext uri="{63B3BB69-23CF-44E3-9099-C40C66FF867C}">
                    <a14:compatExt spid="_x0000_s2231"/>
                  </a:ext>
                </a:extLst>
              </xdr:cNvPr>
              <xdr:cNvSpPr/>
            </xdr:nvSpPr>
            <xdr:spPr bwMode="auto">
              <a:xfrm>
                <a:off x="4652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2" name="Check Box 184" hidden="1">
                <a:extLst>
                  <a:ext uri="{63B3BB69-23CF-44E3-9099-C40C66FF867C}">
                    <a14:compatExt spid="_x0000_s2232"/>
                  </a:ext>
                </a:extLst>
              </xdr:cNvPr>
              <xdr:cNvSpPr/>
            </xdr:nvSpPr>
            <xdr:spPr bwMode="auto">
              <a:xfrm>
                <a:off x="4269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3" name="Check Box 185" hidden="1">
                <a:extLst>
                  <a:ext uri="{63B3BB69-23CF-44E3-9099-C40C66FF867C}">
                    <a14:compatExt spid="_x0000_s2233"/>
                  </a:ext>
                </a:extLst>
              </xdr:cNvPr>
              <xdr:cNvSpPr/>
            </xdr:nvSpPr>
            <xdr:spPr bwMode="auto">
              <a:xfrm>
                <a:off x="4652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78574</xdr:colOff>
          <xdr:row>57</xdr:row>
          <xdr:rowOff>0</xdr:rowOff>
        </xdr:from>
        <xdr:to>
          <xdr:col>19</xdr:col>
          <xdr:colOff>300013</xdr:colOff>
          <xdr:row>62</xdr:row>
          <xdr:rowOff>161941</xdr:rowOff>
        </xdr:to>
        <xdr:grpSp>
          <xdr:nvGrpSpPr>
            <xdr:cNvPr id="2" name="Group 1"/>
            <xdr:cNvGrpSpPr/>
          </xdr:nvGrpSpPr>
          <xdr:grpSpPr>
            <a:xfrm>
              <a:off x="6936574" y="9591675"/>
              <a:ext cx="602439" cy="971566"/>
              <a:chOff x="6936574" y="9391650"/>
              <a:chExt cx="602439" cy="971566"/>
            </a:xfrm>
          </xdr:grpSpPr>
          <xdr:sp macro="" textlink="">
            <xdr:nvSpPr>
              <xdr:cNvPr id="2234" name="Check Box 186" hidden="1">
                <a:extLst>
                  <a:ext uri="{63B3BB69-23CF-44E3-9099-C40C66FF867C}">
                    <a14:compatExt spid="_x0000_s2234"/>
                  </a:ext>
                </a:extLst>
              </xdr:cNvPr>
              <xdr:cNvSpPr/>
            </xdr:nvSpPr>
            <xdr:spPr bwMode="auto">
              <a:xfrm>
                <a:off x="6936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5" name="Check Box 187" hidden="1">
                <a:extLst>
                  <a:ext uri="{63B3BB69-23CF-44E3-9099-C40C66FF867C}">
                    <a14:compatExt spid="_x0000_s2235"/>
                  </a:ext>
                </a:extLst>
              </xdr:cNvPr>
              <xdr:cNvSpPr/>
            </xdr:nvSpPr>
            <xdr:spPr bwMode="auto">
              <a:xfrm>
                <a:off x="7319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6" name="Check Box 188" hidden="1">
                <a:extLst>
                  <a:ext uri="{63B3BB69-23CF-44E3-9099-C40C66FF867C}">
                    <a14:compatExt spid="_x0000_s2236"/>
                  </a:ext>
                </a:extLst>
              </xdr:cNvPr>
              <xdr:cNvSpPr/>
            </xdr:nvSpPr>
            <xdr:spPr bwMode="auto">
              <a:xfrm>
                <a:off x="6936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7" name="Check Box 189" hidden="1">
                <a:extLst>
                  <a:ext uri="{63B3BB69-23CF-44E3-9099-C40C66FF867C}">
                    <a14:compatExt spid="_x0000_s2237"/>
                  </a:ext>
                </a:extLst>
              </xdr:cNvPr>
              <xdr:cNvSpPr/>
            </xdr:nvSpPr>
            <xdr:spPr bwMode="auto">
              <a:xfrm>
                <a:off x="7319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8" name="Check Box 190" hidden="1">
                <a:extLst>
                  <a:ext uri="{63B3BB69-23CF-44E3-9099-C40C66FF867C}">
                    <a14:compatExt spid="_x0000_s2238"/>
                  </a:ext>
                </a:extLst>
              </xdr:cNvPr>
              <xdr:cNvSpPr/>
            </xdr:nvSpPr>
            <xdr:spPr bwMode="auto">
              <a:xfrm>
                <a:off x="6936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9" name="Check Box 191" hidden="1">
                <a:extLst>
                  <a:ext uri="{63B3BB69-23CF-44E3-9099-C40C66FF867C}">
                    <a14:compatExt spid="_x0000_s2239"/>
                  </a:ext>
                </a:extLst>
              </xdr:cNvPr>
              <xdr:cNvSpPr/>
            </xdr:nvSpPr>
            <xdr:spPr bwMode="auto">
              <a:xfrm>
                <a:off x="7319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0" name="Check Box 192" hidden="1">
                <a:extLst>
                  <a:ext uri="{63B3BB69-23CF-44E3-9099-C40C66FF867C}">
                    <a14:compatExt spid="_x0000_s2240"/>
                  </a:ext>
                </a:extLst>
              </xdr:cNvPr>
              <xdr:cNvSpPr/>
            </xdr:nvSpPr>
            <xdr:spPr bwMode="auto">
              <a:xfrm>
                <a:off x="6936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1" name="Check Box 193" hidden="1">
                <a:extLst>
                  <a:ext uri="{63B3BB69-23CF-44E3-9099-C40C66FF867C}">
                    <a14:compatExt spid="_x0000_s2241"/>
                  </a:ext>
                </a:extLst>
              </xdr:cNvPr>
              <xdr:cNvSpPr/>
            </xdr:nvSpPr>
            <xdr:spPr bwMode="auto">
              <a:xfrm>
                <a:off x="7319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2" name="Check Box 194" hidden="1">
                <a:extLst>
                  <a:ext uri="{63B3BB69-23CF-44E3-9099-C40C66FF867C}">
                    <a14:compatExt spid="_x0000_s2242"/>
                  </a:ext>
                </a:extLst>
              </xdr:cNvPr>
              <xdr:cNvSpPr/>
            </xdr:nvSpPr>
            <xdr:spPr bwMode="auto">
              <a:xfrm>
                <a:off x="6936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3" name="Check Box 195" hidden="1">
                <a:extLst>
                  <a:ext uri="{63B3BB69-23CF-44E3-9099-C40C66FF867C}">
                    <a14:compatExt spid="_x0000_s2243"/>
                  </a:ext>
                </a:extLst>
              </xdr:cNvPr>
              <xdr:cNvSpPr/>
            </xdr:nvSpPr>
            <xdr:spPr bwMode="auto">
              <a:xfrm>
                <a:off x="7319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4" name="Check Box 196" hidden="1">
                <a:extLst>
                  <a:ext uri="{63B3BB69-23CF-44E3-9099-C40C66FF867C}">
                    <a14:compatExt spid="_x0000_s2244"/>
                  </a:ext>
                </a:extLst>
              </xdr:cNvPr>
              <xdr:cNvSpPr/>
            </xdr:nvSpPr>
            <xdr:spPr bwMode="auto">
              <a:xfrm>
                <a:off x="6936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5" name="Check Box 197" hidden="1">
                <a:extLst>
                  <a:ext uri="{63B3BB69-23CF-44E3-9099-C40C66FF867C}">
                    <a14:compatExt spid="_x0000_s2245"/>
                  </a:ext>
                </a:extLst>
              </xdr:cNvPr>
              <xdr:cNvSpPr/>
            </xdr:nvSpPr>
            <xdr:spPr bwMode="auto">
              <a:xfrm>
                <a:off x="7319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78574</xdr:colOff>
          <xdr:row>72</xdr:row>
          <xdr:rowOff>0</xdr:rowOff>
        </xdr:from>
        <xdr:to>
          <xdr:col>5</xdr:col>
          <xdr:colOff>300013</xdr:colOff>
          <xdr:row>75</xdr:row>
          <xdr:rowOff>161941</xdr:rowOff>
        </xdr:to>
        <xdr:grpSp>
          <xdr:nvGrpSpPr>
            <xdr:cNvPr id="5" name="Group 4"/>
            <xdr:cNvGrpSpPr/>
          </xdr:nvGrpSpPr>
          <xdr:grpSpPr>
            <a:xfrm>
              <a:off x="1602574" y="12096750"/>
              <a:ext cx="602439" cy="657241"/>
              <a:chOff x="1602574" y="11896725"/>
              <a:chExt cx="602439" cy="657241"/>
            </a:xfrm>
          </xdr:grpSpPr>
          <xdr:sp macro="" textlink="">
            <xdr:nvSpPr>
              <xdr:cNvPr id="2246" name="Check Box 198" hidden="1">
                <a:extLst>
                  <a:ext uri="{63B3BB69-23CF-44E3-9099-C40C66FF867C}">
                    <a14:compatExt spid="_x0000_s2246"/>
                  </a:ext>
                </a:extLst>
              </xdr:cNvPr>
              <xdr:cNvSpPr/>
            </xdr:nvSpPr>
            <xdr:spPr bwMode="auto">
              <a:xfrm>
                <a:off x="1602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7" name="Check Box 199" hidden="1">
                <a:extLst>
                  <a:ext uri="{63B3BB69-23CF-44E3-9099-C40C66FF867C}">
                    <a14:compatExt spid="_x0000_s2247"/>
                  </a:ext>
                </a:extLst>
              </xdr:cNvPr>
              <xdr:cNvSpPr/>
            </xdr:nvSpPr>
            <xdr:spPr bwMode="auto">
              <a:xfrm>
                <a:off x="1985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8" name="Check Box 200" hidden="1">
                <a:extLst>
                  <a:ext uri="{63B3BB69-23CF-44E3-9099-C40C66FF867C}">
                    <a14:compatExt spid="_x0000_s2248"/>
                  </a:ext>
                </a:extLst>
              </xdr:cNvPr>
              <xdr:cNvSpPr/>
            </xdr:nvSpPr>
            <xdr:spPr bwMode="auto">
              <a:xfrm>
                <a:off x="1602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9" name="Check Box 201" hidden="1">
                <a:extLst>
                  <a:ext uri="{63B3BB69-23CF-44E3-9099-C40C66FF867C}">
                    <a14:compatExt spid="_x0000_s2249"/>
                  </a:ext>
                </a:extLst>
              </xdr:cNvPr>
              <xdr:cNvSpPr/>
            </xdr:nvSpPr>
            <xdr:spPr bwMode="auto">
              <a:xfrm>
                <a:off x="1985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0" name="Check Box 202" hidden="1">
                <a:extLst>
                  <a:ext uri="{63B3BB69-23CF-44E3-9099-C40C66FF867C}">
                    <a14:compatExt spid="_x0000_s2250"/>
                  </a:ext>
                </a:extLst>
              </xdr:cNvPr>
              <xdr:cNvSpPr/>
            </xdr:nvSpPr>
            <xdr:spPr bwMode="auto">
              <a:xfrm>
                <a:off x="1602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1" name="Check Box 203" hidden="1">
                <a:extLst>
                  <a:ext uri="{63B3BB69-23CF-44E3-9099-C40C66FF867C}">
                    <a14:compatExt spid="_x0000_s2251"/>
                  </a:ext>
                </a:extLst>
              </xdr:cNvPr>
              <xdr:cNvSpPr/>
            </xdr:nvSpPr>
            <xdr:spPr bwMode="auto">
              <a:xfrm>
                <a:off x="1985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2" name="Check Box 204" hidden="1">
                <a:extLst>
                  <a:ext uri="{63B3BB69-23CF-44E3-9099-C40C66FF867C}">
                    <a14:compatExt spid="_x0000_s2252"/>
                  </a:ext>
                </a:extLst>
              </xdr:cNvPr>
              <xdr:cNvSpPr/>
            </xdr:nvSpPr>
            <xdr:spPr bwMode="auto">
              <a:xfrm>
                <a:off x="1602574" y="123920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3" name="Check Box 205" hidden="1">
                <a:extLst>
                  <a:ext uri="{63B3BB69-23CF-44E3-9099-C40C66FF867C}">
                    <a14:compatExt spid="_x0000_s2253"/>
                  </a:ext>
                </a:extLst>
              </xdr:cNvPr>
              <xdr:cNvSpPr/>
            </xdr:nvSpPr>
            <xdr:spPr bwMode="auto">
              <a:xfrm>
                <a:off x="1985938" y="123920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78574</xdr:colOff>
          <xdr:row>72</xdr:row>
          <xdr:rowOff>0</xdr:rowOff>
        </xdr:from>
        <xdr:to>
          <xdr:col>12</xdr:col>
          <xdr:colOff>300013</xdr:colOff>
          <xdr:row>75</xdr:row>
          <xdr:rowOff>161941</xdr:rowOff>
        </xdr:to>
        <xdr:grpSp>
          <xdr:nvGrpSpPr>
            <xdr:cNvPr id="6" name="Group 5"/>
            <xdr:cNvGrpSpPr/>
          </xdr:nvGrpSpPr>
          <xdr:grpSpPr>
            <a:xfrm>
              <a:off x="4269574" y="12096750"/>
              <a:ext cx="602439" cy="657241"/>
              <a:chOff x="4269574" y="11896725"/>
              <a:chExt cx="602439" cy="657241"/>
            </a:xfrm>
          </xdr:grpSpPr>
          <xdr:sp macro="" textlink="">
            <xdr:nvSpPr>
              <xdr:cNvPr id="2254" name="Check Box 206" hidden="1">
                <a:extLst>
                  <a:ext uri="{63B3BB69-23CF-44E3-9099-C40C66FF867C}">
                    <a14:compatExt spid="_x0000_s2254"/>
                  </a:ext>
                </a:extLst>
              </xdr:cNvPr>
              <xdr:cNvSpPr/>
            </xdr:nvSpPr>
            <xdr:spPr bwMode="auto">
              <a:xfrm>
                <a:off x="4269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5" name="Check Box 207" hidden="1">
                <a:extLst>
                  <a:ext uri="{63B3BB69-23CF-44E3-9099-C40C66FF867C}">
                    <a14:compatExt spid="_x0000_s2255"/>
                  </a:ext>
                </a:extLst>
              </xdr:cNvPr>
              <xdr:cNvSpPr/>
            </xdr:nvSpPr>
            <xdr:spPr bwMode="auto">
              <a:xfrm>
                <a:off x="4652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6" name="Check Box 208" hidden="1">
                <a:extLst>
                  <a:ext uri="{63B3BB69-23CF-44E3-9099-C40C66FF867C}">
                    <a14:compatExt spid="_x0000_s2256"/>
                  </a:ext>
                </a:extLst>
              </xdr:cNvPr>
              <xdr:cNvSpPr/>
            </xdr:nvSpPr>
            <xdr:spPr bwMode="auto">
              <a:xfrm>
                <a:off x="4269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7" name="Check Box 209" hidden="1">
                <a:extLst>
                  <a:ext uri="{63B3BB69-23CF-44E3-9099-C40C66FF867C}">
                    <a14:compatExt spid="_x0000_s2257"/>
                  </a:ext>
                </a:extLst>
              </xdr:cNvPr>
              <xdr:cNvSpPr/>
            </xdr:nvSpPr>
            <xdr:spPr bwMode="auto">
              <a:xfrm>
                <a:off x="4652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8" name="Check Box 210" hidden="1">
                <a:extLst>
                  <a:ext uri="{63B3BB69-23CF-44E3-9099-C40C66FF867C}">
                    <a14:compatExt spid="_x0000_s2258"/>
                  </a:ext>
                </a:extLst>
              </xdr:cNvPr>
              <xdr:cNvSpPr/>
            </xdr:nvSpPr>
            <xdr:spPr bwMode="auto">
              <a:xfrm>
                <a:off x="4269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9" name="Check Box 211" hidden="1">
                <a:extLst>
                  <a:ext uri="{63B3BB69-23CF-44E3-9099-C40C66FF867C}">
                    <a14:compatExt spid="_x0000_s2259"/>
                  </a:ext>
                </a:extLst>
              </xdr:cNvPr>
              <xdr:cNvSpPr/>
            </xdr:nvSpPr>
            <xdr:spPr bwMode="auto">
              <a:xfrm>
                <a:off x="4652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0" name="Check Box 212" hidden="1">
                <a:extLst>
                  <a:ext uri="{63B3BB69-23CF-44E3-9099-C40C66FF867C}">
                    <a14:compatExt spid="_x0000_s2260"/>
                  </a:ext>
                </a:extLst>
              </xdr:cNvPr>
              <xdr:cNvSpPr/>
            </xdr:nvSpPr>
            <xdr:spPr bwMode="auto">
              <a:xfrm>
                <a:off x="4269574" y="123920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1" name="Check Box 213" hidden="1">
                <a:extLst>
                  <a:ext uri="{63B3BB69-23CF-44E3-9099-C40C66FF867C}">
                    <a14:compatExt spid="_x0000_s2261"/>
                  </a:ext>
                </a:extLst>
              </xdr:cNvPr>
              <xdr:cNvSpPr/>
            </xdr:nvSpPr>
            <xdr:spPr bwMode="auto">
              <a:xfrm>
                <a:off x="4652938" y="123920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78574</xdr:colOff>
          <xdr:row>72</xdr:row>
          <xdr:rowOff>0</xdr:rowOff>
        </xdr:from>
        <xdr:to>
          <xdr:col>19</xdr:col>
          <xdr:colOff>300013</xdr:colOff>
          <xdr:row>74</xdr:row>
          <xdr:rowOff>161941</xdr:rowOff>
        </xdr:to>
        <xdr:grpSp>
          <xdr:nvGrpSpPr>
            <xdr:cNvPr id="7" name="Group 6"/>
            <xdr:cNvGrpSpPr/>
          </xdr:nvGrpSpPr>
          <xdr:grpSpPr>
            <a:xfrm>
              <a:off x="6936574" y="12096750"/>
              <a:ext cx="602439" cy="485791"/>
              <a:chOff x="6936574" y="11896725"/>
              <a:chExt cx="602439" cy="485791"/>
            </a:xfrm>
          </xdr:grpSpPr>
          <xdr:sp macro="" textlink="">
            <xdr:nvSpPr>
              <xdr:cNvPr id="2262" name="Check Box 214" hidden="1">
                <a:extLst>
                  <a:ext uri="{63B3BB69-23CF-44E3-9099-C40C66FF867C}">
                    <a14:compatExt spid="_x0000_s2262"/>
                  </a:ext>
                </a:extLst>
              </xdr:cNvPr>
              <xdr:cNvSpPr/>
            </xdr:nvSpPr>
            <xdr:spPr bwMode="auto">
              <a:xfrm>
                <a:off x="6936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3" name="Check Box 215" hidden="1">
                <a:extLst>
                  <a:ext uri="{63B3BB69-23CF-44E3-9099-C40C66FF867C}">
                    <a14:compatExt spid="_x0000_s2263"/>
                  </a:ext>
                </a:extLst>
              </xdr:cNvPr>
              <xdr:cNvSpPr/>
            </xdr:nvSpPr>
            <xdr:spPr bwMode="auto">
              <a:xfrm>
                <a:off x="7319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4" name="Check Box 216" hidden="1">
                <a:extLst>
                  <a:ext uri="{63B3BB69-23CF-44E3-9099-C40C66FF867C}">
                    <a14:compatExt spid="_x0000_s2264"/>
                  </a:ext>
                </a:extLst>
              </xdr:cNvPr>
              <xdr:cNvSpPr/>
            </xdr:nvSpPr>
            <xdr:spPr bwMode="auto">
              <a:xfrm>
                <a:off x="6936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5" name="Check Box 217" hidden="1">
                <a:extLst>
                  <a:ext uri="{63B3BB69-23CF-44E3-9099-C40C66FF867C}">
                    <a14:compatExt spid="_x0000_s2265"/>
                  </a:ext>
                </a:extLst>
              </xdr:cNvPr>
              <xdr:cNvSpPr/>
            </xdr:nvSpPr>
            <xdr:spPr bwMode="auto">
              <a:xfrm>
                <a:off x="7319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6" name="Check Box 218" hidden="1">
                <a:extLst>
                  <a:ext uri="{63B3BB69-23CF-44E3-9099-C40C66FF867C}">
                    <a14:compatExt spid="_x0000_s2266"/>
                  </a:ext>
                </a:extLst>
              </xdr:cNvPr>
              <xdr:cNvSpPr/>
            </xdr:nvSpPr>
            <xdr:spPr bwMode="auto">
              <a:xfrm>
                <a:off x="6936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7" name="Check Box 219" hidden="1">
                <a:extLst>
                  <a:ext uri="{63B3BB69-23CF-44E3-9099-C40C66FF867C}">
                    <a14:compatExt spid="_x0000_s2267"/>
                  </a:ext>
                </a:extLst>
              </xdr:cNvPr>
              <xdr:cNvSpPr/>
            </xdr:nvSpPr>
            <xdr:spPr bwMode="auto">
              <a:xfrm>
                <a:off x="7319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13</xdr:row>
          <xdr:rowOff>9525</xdr:rowOff>
        </xdr:from>
        <xdr:to>
          <xdr:col>0</xdr:col>
          <xdr:colOff>361950</xdr:colOff>
          <xdr:row>13</xdr:row>
          <xdr:rowOff>161925</xdr:rowOff>
        </xdr:to>
        <xdr:sp macro="" textlink="">
          <xdr:nvSpPr>
            <xdr:cNvPr id="2268" name="Check Box 14" hidden="1">
              <a:extLst>
                <a:ext uri="{63B3BB69-23CF-44E3-9099-C40C66FF867C}">
                  <a14:compatExt spid="_x0000_s2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14</xdr:row>
          <xdr:rowOff>9525</xdr:rowOff>
        </xdr:from>
        <xdr:to>
          <xdr:col>0</xdr:col>
          <xdr:colOff>361950</xdr:colOff>
          <xdr:row>14</xdr:row>
          <xdr:rowOff>161925</xdr:rowOff>
        </xdr:to>
        <xdr:sp macro="" textlink="">
          <xdr:nvSpPr>
            <xdr:cNvPr id="2279" name="Check Box 15" hidden="1">
              <a:extLst>
                <a:ext uri="{63B3BB69-23CF-44E3-9099-C40C66FF867C}">
                  <a14:compatExt spid="_x0000_s2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15</xdr:row>
          <xdr:rowOff>9525</xdr:rowOff>
        </xdr:from>
        <xdr:to>
          <xdr:col>0</xdr:col>
          <xdr:colOff>361950</xdr:colOff>
          <xdr:row>15</xdr:row>
          <xdr:rowOff>161925</xdr:rowOff>
        </xdr:to>
        <xdr:sp macro="" textlink="">
          <xdr:nvSpPr>
            <xdr:cNvPr id="2280" name="Check Box 16" hidden="1">
              <a:extLst>
                <a:ext uri="{63B3BB69-23CF-44E3-9099-C40C66FF867C}">
                  <a14:compatExt spid="_x0000_s2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16</xdr:row>
          <xdr:rowOff>9525</xdr:rowOff>
        </xdr:from>
        <xdr:to>
          <xdr:col>0</xdr:col>
          <xdr:colOff>361950</xdr:colOff>
          <xdr:row>16</xdr:row>
          <xdr:rowOff>161925</xdr:rowOff>
        </xdr:to>
        <xdr:sp macro="" textlink="">
          <xdr:nvSpPr>
            <xdr:cNvPr id="2281" name="Check Box 17" hidden="1">
              <a:extLst>
                <a:ext uri="{63B3BB69-23CF-44E3-9099-C40C66FF867C}">
                  <a14:compatExt spid="_x0000_s2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17</xdr:row>
          <xdr:rowOff>9525</xdr:rowOff>
        </xdr:from>
        <xdr:to>
          <xdr:col>0</xdr:col>
          <xdr:colOff>361950</xdr:colOff>
          <xdr:row>18</xdr:row>
          <xdr:rowOff>152400</xdr:rowOff>
        </xdr:to>
        <xdr:sp macro="" textlink="">
          <xdr:nvSpPr>
            <xdr:cNvPr id="2282" name="Check Box 18" hidden="1">
              <a:extLst>
                <a:ext uri="{63B3BB69-23CF-44E3-9099-C40C66FF867C}">
                  <a14:compatExt spid="_x0000_s2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19</xdr:row>
          <xdr:rowOff>9525</xdr:rowOff>
        </xdr:from>
        <xdr:to>
          <xdr:col>0</xdr:col>
          <xdr:colOff>361950</xdr:colOff>
          <xdr:row>20</xdr:row>
          <xdr:rowOff>0</xdr:rowOff>
        </xdr:to>
        <xdr:sp macro="" textlink="">
          <xdr:nvSpPr>
            <xdr:cNvPr id="2283" name="Check Box 20" hidden="1">
              <a:extLst>
                <a:ext uri="{63B3BB69-23CF-44E3-9099-C40C66FF867C}">
                  <a14:compatExt spid="_x0000_s2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20</xdr:row>
          <xdr:rowOff>9525</xdr:rowOff>
        </xdr:from>
        <xdr:to>
          <xdr:col>0</xdr:col>
          <xdr:colOff>361950</xdr:colOff>
          <xdr:row>20</xdr:row>
          <xdr:rowOff>161925</xdr:rowOff>
        </xdr:to>
        <xdr:sp macro="" textlink="">
          <xdr:nvSpPr>
            <xdr:cNvPr id="2284" name="Check Box 21" hidden="1">
              <a:extLst>
                <a:ext uri="{63B3BB69-23CF-44E3-9099-C40C66FF867C}">
                  <a14:compatExt spid="_x0000_s2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21</xdr:row>
          <xdr:rowOff>9525</xdr:rowOff>
        </xdr:from>
        <xdr:to>
          <xdr:col>0</xdr:col>
          <xdr:colOff>361950</xdr:colOff>
          <xdr:row>22</xdr:row>
          <xdr:rowOff>0</xdr:rowOff>
        </xdr:to>
        <xdr:sp macro="" textlink="">
          <xdr:nvSpPr>
            <xdr:cNvPr id="2285" name="Check Box 22" hidden="1">
              <a:extLst>
                <a:ext uri="{63B3BB69-23CF-44E3-9099-C40C66FF867C}">
                  <a14:compatExt spid="_x0000_s2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22</xdr:row>
          <xdr:rowOff>9525</xdr:rowOff>
        </xdr:from>
        <xdr:to>
          <xdr:col>0</xdr:col>
          <xdr:colOff>361950</xdr:colOff>
          <xdr:row>22</xdr:row>
          <xdr:rowOff>161925</xdr:rowOff>
        </xdr:to>
        <xdr:sp macro="" textlink="">
          <xdr:nvSpPr>
            <xdr:cNvPr id="2286" name="Check Box 23" hidden="1">
              <a:extLst>
                <a:ext uri="{63B3BB69-23CF-44E3-9099-C40C66FF867C}">
                  <a14:compatExt spid="_x0000_s2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23</xdr:row>
          <xdr:rowOff>9525</xdr:rowOff>
        </xdr:from>
        <xdr:to>
          <xdr:col>0</xdr:col>
          <xdr:colOff>361950</xdr:colOff>
          <xdr:row>23</xdr:row>
          <xdr:rowOff>161925</xdr:rowOff>
        </xdr:to>
        <xdr:sp macro="" textlink="">
          <xdr:nvSpPr>
            <xdr:cNvPr id="2287" name="Check Box 24" hidden="1">
              <a:extLst>
                <a:ext uri="{63B3BB69-23CF-44E3-9099-C40C66FF867C}">
                  <a14:compatExt spid="_x0000_s2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xdr:row>
          <xdr:rowOff>9525</xdr:rowOff>
        </xdr:from>
        <xdr:to>
          <xdr:col>0</xdr:col>
          <xdr:colOff>361950</xdr:colOff>
          <xdr:row>25</xdr:row>
          <xdr:rowOff>0</xdr:rowOff>
        </xdr:to>
        <xdr:sp macro="" textlink="">
          <xdr:nvSpPr>
            <xdr:cNvPr id="2288" name="Check Box 25" hidden="1">
              <a:extLst>
                <a:ext uri="{63B3BB69-23CF-44E3-9099-C40C66FF867C}">
                  <a14:compatExt spid="_x0000_s2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25</xdr:row>
          <xdr:rowOff>9525</xdr:rowOff>
        </xdr:from>
        <xdr:to>
          <xdr:col>0</xdr:col>
          <xdr:colOff>361950</xdr:colOff>
          <xdr:row>25</xdr:row>
          <xdr:rowOff>161925</xdr:rowOff>
        </xdr:to>
        <xdr:sp macro="" textlink="">
          <xdr:nvSpPr>
            <xdr:cNvPr id="2289" name="Check Box 26" hidden="1">
              <a:extLst>
                <a:ext uri="{63B3BB69-23CF-44E3-9099-C40C66FF867C}">
                  <a14:compatExt spid="_x0000_s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26</xdr:row>
          <xdr:rowOff>9525</xdr:rowOff>
        </xdr:from>
        <xdr:to>
          <xdr:col>0</xdr:col>
          <xdr:colOff>361950</xdr:colOff>
          <xdr:row>26</xdr:row>
          <xdr:rowOff>161925</xdr:rowOff>
        </xdr:to>
        <xdr:sp macro="" textlink="">
          <xdr:nvSpPr>
            <xdr:cNvPr id="2290" name="Check Box 27" hidden="1">
              <a:extLst>
                <a:ext uri="{63B3BB69-23CF-44E3-9099-C40C66FF867C}">
                  <a14:compatExt spid="_x0000_s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27</xdr:row>
          <xdr:rowOff>9525</xdr:rowOff>
        </xdr:from>
        <xdr:to>
          <xdr:col>0</xdr:col>
          <xdr:colOff>361950</xdr:colOff>
          <xdr:row>28</xdr:row>
          <xdr:rowOff>0</xdr:rowOff>
        </xdr:to>
        <xdr:sp macro="" textlink="">
          <xdr:nvSpPr>
            <xdr:cNvPr id="2291" name="Check Box 28" hidden="1">
              <a:extLst>
                <a:ext uri="{63B3BB69-23CF-44E3-9099-C40C66FF867C}">
                  <a14:compatExt spid="_x0000_s2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28</xdr:row>
          <xdr:rowOff>9525</xdr:rowOff>
        </xdr:from>
        <xdr:to>
          <xdr:col>0</xdr:col>
          <xdr:colOff>361950</xdr:colOff>
          <xdr:row>28</xdr:row>
          <xdr:rowOff>161925</xdr:rowOff>
        </xdr:to>
        <xdr:sp macro="" textlink="">
          <xdr:nvSpPr>
            <xdr:cNvPr id="2292" name="Check Box 29" hidden="1">
              <a:extLst>
                <a:ext uri="{63B3BB69-23CF-44E3-9099-C40C66FF867C}">
                  <a14:compatExt spid="_x0000_s2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29</xdr:row>
          <xdr:rowOff>9525</xdr:rowOff>
        </xdr:from>
        <xdr:to>
          <xdr:col>0</xdr:col>
          <xdr:colOff>361950</xdr:colOff>
          <xdr:row>29</xdr:row>
          <xdr:rowOff>161925</xdr:rowOff>
        </xdr:to>
        <xdr:sp macro="" textlink="">
          <xdr:nvSpPr>
            <xdr:cNvPr id="2293" name="Check Box 30" hidden="1">
              <a:extLst>
                <a:ext uri="{63B3BB69-23CF-44E3-9099-C40C66FF867C}">
                  <a14:compatExt spid="_x0000_s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447675</xdr:colOff>
          <xdr:row>89</xdr:row>
          <xdr:rowOff>76200</xdr:rowOff>
        </xdr:from>
        <xdr:to>
          <xdr:col>24</xdr:col>
          <xdr:colOff>257175</xdr:colOff>
          <xdr:row>90</xdr:row>
          <xdr:rowOff>142875</xdr:rowOff>
        </xdr:to>
        <xdr:sp macro="" textlink="">
          <xdr:nvSpPr>
            <xdr:cNvPr id="2302" name="Button 254" hidden="1">
              <a:extLst>
                <a:ext uri="{63B3BB69-23CF-44E3-9099-C40C66FF867C}">
                  <a14:compatExt spid="_x0000_s2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Pass P.O.V.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76</xdr:row>
          <xdr:rowOff>57150</xdr:rowOff>
        </xdr:from>
        <xdr:to>
          <xdr:col>13</xdr:col>
          <xdr:colOff>95250</xdr:colOff>
          <xdr:row>78</xdr:row>
          <xdr:rowOff>100013</xdr:rowOff>
        </xdr:to>
        <xdr:grpSp>
          <xdr:nvGrpSpPr>
            <xdr:cNvPr id="9" name="Group 3"/>
            <xdr:cNvGrpSpPr/>
          </xdr:nvGrpSpPr>
          <xdr:grpSpPr>
            <a:xfrm>
              <a:off x="1914525" y="8181975"/>
              <a:ext cx="3133725" cy="366713"/>
              <a:chOff x="1914525" y="7981950"/>
              <a:chExt cx="3133725" cy="366713"/>
            </a:xfrm>
          </xdr:grpSpPr>
          <xdr:sp macro="" textlink="">
            <xdr:nvSpPr>
              <xdr:cNvPr id="2146" name="Button 98" hidden="1">
                <a:extLst>
                  <a:ext uri="{63B3BB69-23CF-44E3-9099-C40C66FF867C}">
                    <a14:compatExt spid="_x0000_s2146"/>
                  </a:ext>
                </a:extLst>
              </xdr:cNvPr>
              <xdr:cNvSpPr/>
            </xdr:nvSpPr>
            <xdr:spPr bwMode="auto">
              <a:xfrm>
                <a:off x="3943350" y="7981950"/>
                <a:ext cx="1104900" cy="3619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 HARP</a:t>
                </a:r>
              </a:p>
            </xdr:txBody>
          </xdr:sp>
          <xdr:sp macro="" textlink="">
            <xdr:nvSpPr>
              <xdr:cNvPr id="2304" name="Check Box 255" descr="Check this box if the Marine currently logged on is NOT the requesting Marine." hidden="1">
                <a:extLst>
                  <a:ext uri="{63B3BB69-23CF-44E3-9099-C40C66FF867C}">
                    <a14:compatExt spid="_x0000_s2304"/>
                  </a:ext>
                </a:extLst>
              </xdr:cNvPr>
              <xdr:cNvSpPr/>
            </xdr:nvSpPr>
            <xdr:spPr bwMode="auto">
              <a:xfrm>
                <a:off x="1914525" y="7986713"/>
                <a:ext cx="2038350" cy="36195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this box if the Marine currently logged on is NOT the requesting Marine.</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209550</xdr:colOff>
          <xdr:row>80</xdr:row>
          <xdr:rowOff>57150</xdr:rowOff>
        </xdr:from>
        <xdr:to>
          <xdr:col>11</xdr:col>
          <xdr:colOff>171450</xdr:colOff>
          <xdr:row>82</xdr:row>
          <xdr:rowOff>95250</xdr:rowOff>
        </xdr:to>
        <xdr:sp macro="" textlink="">
          <xdr:nvSpPr>
            <xdr:cNvPr id="2309" name="Button 261" hidden="1">
              <a:extLst>
                <a:ext uri="{63B3BB69-23CF-44E3-9099-C40C66FF867C}">
                  <a14:compatExt spid="_x0000_s2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Supervisor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28575</xdr:rowOff>
        </xdr:from>
        <xdr:to>
          <xdr:col>2</xdr:col>
          <xdr:colOff>600075</xdr:colOff>
          <xdr:row>7</xdr:row>
          <xdr:rowOff>180975</xdr:rowOff>
        </xdr:to>
        <xdr:pic>
          <xdr:nvPicPr>
            <xdr:cNvPr id="4" name="Picture 3"/>
            <xdr:cNvPicPr>
              <a:picLocks noChangeAspect="1" noChangeArrowheads="1"/>
              <a:extLst>
                <a:ext uri="{84589F7E-364E-4C9E-8A38-B11213B215E9}">
                  <a14:cameraTool cellRange="DevMode!$K$31" spid="_x0000_s3083"/>
                </a:ext>
              </a:extLst>
            </xdr:cNvPicPr>
          </xdr:nvPicPr>
          <xdr:blipFill>
            <a:blip xmlns:r="http://schemas.openxmlformats.org/officeDocument/2006/relationships" r:embed="rId1"/>
            <a:srcRect/>
            <a:stretch>
              <a:fillRect/>
            </a:stretch>
          </xdr:blipFill>
          <xdr:spPr bwMode="auto">
            <a:xfrm>
              <a:off x="28575" y="28575"/>
              <a:ext cx="2000250" cy="1809750"/>
            </a:xfrm>
            <a:prstGeom prst="rect">
              <a:avLst/>
            </a:prstGeom>
            <a:solidFill>
              <a:schemeClr val="bg1"/>
            </a:solidFill>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152400</xdr:colOff>
          <xdr:row>13</xdr:row>
          <xdr:rowOff>161925</xdr:rowOff>
        </xdr:from>
        <xdr:to>
          <xdr:col>3</xdr:col>
          <xdr:colOff>990600</xdr:colOff>
          <xdr:row>16</xdr:row>
          <xdr:rowOff>38100</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xdr:row>
          <xdr:rowOff>66675</xdr:rowOff>
        </xdr:from>
        <xdr:to>
          <xdr:col>4</xdr:col>
          <xdr:colOff>695325</xdr:colOff>
          <xdr:row>3</xdr:row>
          <xdr:rowOff>114300</xdr:rowOff>
        </xdr:to>
        <xdr:sp macro="" textlink="">
          <xdr:nvSpPr>
            <xdr:cNvPr id="5127" name="ExtDevMd"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twoCellAnchor editAs="oneCell">
    <xdr:from>
      <xdr:col>10</xdr:col>
      <xdr:colOff>142875</xdr:colOff>
      <xdr:row>30</xdr:row>
      <xdr:rowOff>57150</xdr:rowOff>
    </xdr:from>
    <xdr:to>
      <xdr:col>11</xdr:col>
      <xdr:colOff>900071</xdr:colOff>
      <xdr:row>38</xdr:row>
      <xdr:rowOff>133108</xdr:rowOff>
    </xdr:to>
    <xdr:pic>
      <xdr:nvPicPr>
        <xdr:cNvPr id="6" name="Picture 5"/>
        <xdr:cNvPicPr>
          <a:picLocks noChangeAspect="1"/>
        </xdr:cNvPicPr>
      </xdr:nvPicPr>
      <xdr:blipFill>
        <a:blip xmlns:r="http://schemas.openxmlformats.org/officeDocument/2006/relationships" r:embed="rId1"/>
        <a:stretch>
          <a:fillRect/>
        </a:stretch>
      </xdr:blipFill>
      <xdr:spPr>
        <a:xfrm>
          <a:off x="10287000" y="5953125"/>
          <a:ext cx="1719221" cy="1609483"/>
        </a:xfrm>
        <a:prstGeom prst="rect">
          <a:avLst/>
        </a:prstGeom>
      </xdr:spPr>
    </xdr:pic>
    <xdr:clientData/>
  </xdr:twoCellAnchor>
</xdr:wsDr>
</file>

<file path=xl/tables/table1.xml><?xml version="1.0" encoding="utf-8"?>
<table xmlns="http://schemas.openxmlformats.org/spreadsheetml/2006/main" id="3" name="CSLT" displayName="CSLT" ref="A31:I51" totalsRowShown="0" headerRowDxfId="12" dataDxfId="10" headerRowBorderDxfId="11" tableBorderDxfId="9">
  <autoFilter ref="A31:I51"/>
  <tableColumns count="9">
    <tableColumn id="1" name="Alpha" dataDxfId="8"/>
    <tableColumn id="2" name="Bravo" dataDxfId="7"/>
    <tableColumn id="3" name="Charlie" dataDxfId="6"/>
    <tableColumn id="4" name="Delta" dataDxfId="5"/>
    <tableColumn id="5" name="GS" dataDxfId="4"/>
    <tableColumn id="6" name="HQ" dataDxfId="3"/>
    <tableColumn id="7" name="Service" dataDxfId="2"/>
    <tableColumn id="8" name="Column1" dataDxfId="1"/>
    <tableColumn id="9"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6" Type="http://schemas.openxmlformats.org/officeDocument/2006/relationships/ctrlProp" Target="../ctrlProps/ctrlProp73.xml"/><Relationship Id="rId84" Type="http://schemas.openxmlformats.org/officeDocument/2006/relationships/ctrlProp" Target="../ctrlProps/ctrlProp81.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activeCell="J29" sqref="J29"/>
    </sheetView>
  </sheetViews>
  <sheetFormatPr defaultRowHeight="15" x14ac:dyDescent="0.25"/>
  <cols>
    <col min="1" max="9" width="9.140625" style="58"/>
    <col min="10" max="16384" width="9.140625" style="57"/>
  </cols>
  <sheetData>
    <row r="1" spans="1:21" ht="15" customHeight="1" x14ac:dyDescent="0.25">
      <c r="A1" s="101" t="s">
        <v>314</v>
      </c>
      <c r="B1" s="102"/>
      <c r="C1" s="102"/>
      <c r="D1" s="102"/>
      <c r="E1" s="102"/>
      <c r="F1" s="102"/>
      <c r="G1" s="102"/>
      <c r="H1" s="102"/>
      <c r="I1" s="103"/>
      <c r="K1" s="66" t="s">
        <v>305</v>
      </c>
      <c r="L1" s="59"/>
      <c r="M1" s="59"/>
      <c r="N1" s="59"/>
      <c r="O1" s="59"/>
      <c r="P1" s="59"/>
      <c r="Q1" s="59"/>
      <c r="R1" s="60"/>
    </row>
    <row r="2" spans="1:21" x14ac:dyDescent="0.25">
      <c r="A2" s="104"/>
      <c r="B2" s="105"/>
      <c r="C2" s="105"/>
      <c r="D2" s="105"/>
      <c r="E2" s="105"/>
      <c r="F2" s="105"/>
      <c r="G2" s="105"/>
      <c r="H2" s="105"/>
      <c r="I2" s="106"/>
      <c r="K2" s="61"/>
      <c r="R2" s="62"/>
    </row>
    <row r="3" spans="1:21" x14ac:dyDescent="0.25">
      <c r="A3" s="104"/>
      <c r="B3" s="105"/>
      <c r="C3" s="105"/>
      <c r="D3" s="105"/>
      <c r="E3" s="105"/>
      <c r="F3" s="105"/>
      <c r="G3" s="105"/>
      <c r="H3" s="105"/>
      <c r="I3" s="106"/>
      <c r="K3" s="61"/>
      <c r="R3" s="62"/>
    </row>
    <row r="4" spans="1:21" x14ac:dyDescent="0.25">
      <c r="A4" s="104"/>
      <c r="B4" s="105"/>
      <c r="C4" s="105"/>
      <c r="D4" s="105"/>
      <c r="E4" s="105"/>
      <c r="F4" s="105"/>
      <c r="G4" s="105"/>
      <c r="H4" s="105"/>
      <c r="I4" s="106"/>
      <c r="K4" s="66" t="s">
        <v>306</v>
      </c>
      <c r="L4" s="59"/>
      <c r="M4" s="59"/>
      <c r="N4" s="59"/>
      <c r="O4" s="59"/>
      <c r="P4" s="67"/>
      <c r="Q4" s="59"/>
      <c r="R4" s="59"/>
      <c r="S4" s="59"/>
      <c r="T4" s="59"/>
      <c r="U4" s="60"/>
    </row>
    <row r="5" spans="1:21" x14ac:dyDescent="0.25">
      <c r="A5" s="104"/>
      <c r="B5" s="105"/>
      <c r="C5" s="105"/>
      <c r="D5" s="105"/>
      <c r="E5" s="105"/>
      <c r="F5" s="105"/>
      <c r="G5" s="105"/>
      <c r="H5" s="105"/>
      <c r="I5" s="106"/>
      <c r="K5" s="61"/>
      <c r="U5" s="62"/>
    </row>
    <row r="6" spans="1:21" x14ac:dyDescent="0.25">
      <c r="A6" s="104"/>
      <c r="B6" s="105"/>
      <c r="C6" s="105"/>
      <c r="D6" s="105"/>
      <c r="E6" s="105"/>
      <c r="F6" s="105"/>
      <c r="G6" s="105"/>
      <c r="H6" s="105"/>
      <c r="I6" s="106"/>
      <c r="K6" s="61"/>
      <c r="U6" s="62"/>
    </row>
    <row r="7" spans="1:21" x14ac:dyDescent="0.25">
      <c r="A7" s="104"/>
      <c r="B7" s="105"/>
      <c r="C7" s="105"/>
      <c r="D7" s="105"/>
      <c r="E7" s="105"/>
      <c r="F7" s="105"/>
      <c r="G7" s="105"/>
      <c r="H7" s="105"/>
      <c r="I7" s="106"/>
      <c r="K7" s="63"/>
      <c r="L7" s="64"/>
      <c r="M7" s="64"/>
      <c r="N7" s="64"/>
      <c r="O7" s="64"/>
      <c r="P7" s="64"/>
      <c r="Q7" s="64"/>
      <c r="R7" s="64"/>
      <c r="S7" s="64"/>
      <c r="T7" s="64"/>
      <c r="U7" s="65"/>
    </row>
    <row r="8" spans="1:21" x14ac:dyDescent="0.25">
      <c r="A8" s="104"/>
      <c r="B8" s="105"/>
      <c r="C8" s="105"/>
      <c r="D8" s="105"/>
      <c r="E8" s="105"/>
      <c r="F8" s="105"/>
      <c r="G8" s="105"/>
      <c r="H8" s="105"/>
      <c r="I8" s="106"/>
      <c r="K8" s="66" t="s">
        <v>307</v>
      </c>
      <c r="L8" s="59"/>
      <c r="M8" s="59"/>
      <c r="N8" s="59"/>
      <c r="O8" s="60"/>
      <c r="P8" s="66" t="s">
        <v>308</v>
      </c>
      <c r="Q8" s="59"/>
      <c r="R8" s="59"/>
      <c r="S8" s="59"/>
      <c r="T8" s="59"/>
      <c r="U8" s="60"/>
    </row>
    <row r="9" spans="1:21" x14ac:dyDescent="0.25">
      <c r="A9" s="104"/>
      <c r="B9" s="105"/>
      <c r="C9" s="105"/>
      <c r="D9" s="105"/>
      <c r="E9" s="105"/>
      <c r="F9" s="105"/>
      <c r="G9" s="105"/>
      <c r="H9" s="105"/>
      <c r="I9" s="106"/>
      <c r="K9" s="61"/>
      <c r="O9" s="62"/>
      <c r="P9" s="61"/>
      <c r="U9" s="62"/>
    </row>
    <row r="10" spans="1:21" x14ac:dyDescent="0.25">
      <c r="A10" s="104"/>
      <c r="B10" s="105"/>
      <c r="C10" s="105"/>
      <c r="D10" s="105"/>
      <c r="E10" s="105"/>
      <c r="F10" s="105"/>
      <c r="G10" s="105"/>
      <c r="H10" s="105"/>
      <c r="I10" s="106"/>
      <c r="K10" s="61"/>
      <c r="O10" s="62"/>
      <c r="P10" s="61"/>
      <c r="U10" s="62"/>
    </row>
    <row r="11" spans="1:21" x14ac:dyDescent="0.25">
      <c r="A11" s="104"/>
      <c r="B11" s="105"/>
      <c r="C11" s="105"/>
      <c r="D11" s="105"/>
      <c r="E11" s="105"/>
      <c r="F11" s="105"/>
      <c r="G11" s="105"/>
      <c r="H11" s="105"/>
      <c r="I11" s="106"/>
      <c r="K11" s="61"/>
      <c r="O11" s="62"/>
      <c r="P11" s="61"/>
      <c r="U11" s="62"/>
    </row>
    <row r="12" spans="1:21" x14ac:dyDescent="0.25">
      <c r="A12" s="104"/>
      <c r="B12" s="105"/>
      <c r="C12" s="105"/>
      <c r="D12" s="105"/>
      <c r="E12" s="105"/>
      <c r="F12" s="105"/>
      <c r="G12" s="105"/>
      <c r="H12" s="105"/>
      <c r="I12" s="106"/>
      <c r="K12" s="61"/>
      <c r="O12" s="62"/>
      <c r="P12" s="61"/>
      <c r="U12" s="62"/>
    </row>
    <row r="13" spans="1:21" x14ac:dyDescent="0.25">
      <c r="A13" s="104"/>
      <c r="B13" s="105"/>
      <c r="C13" s="105"/>
      <c r="D13" s="105"/>
      <c r="E13" s="105"/>
      <c r="F13" s="105"/>
      <c r="G13" s="105"/>
      <c r="H13" s="105"/>
      <c r="I13" s="106"/>
      <c r="K13" s="61"/>
      <c r="O13" s="62"/>
      <c r="P13" s="61"/>
      <c r="U13" s="62"/>
    </row>
    <row r="14" spans="1:21" x14ac:dyDescent="0.25">
      <c r="A14" s="104"/>
      <c r="B14" s="105"/>
      <c r="C14" s="105"/>
      <c r="D14" s="105"/>
      <c r="E14" s="105"/>
      <c r="F14" s="105"/>
      <c r="G14" s="105"/>
      <c r="H14" s="105"/>
      <c r="I14" s="106"/>
      <c r="K14" s="61"/>
      <c r="O14" s="62"/>
      <c r="P14" s="61"/>
      <c r="U14" s="62"/>
    </row>
    <row r="15" spans="1:21" x14ac:dyDescent="0.25">
      <c r="A15" s="104"/>
      <c r="B15" s="105"/>
      <c r="C15" s="105"/>
      <c r="D15" s="105"/>
      <c r="E15" s="105"/>
      <c r="F15" s="105"/>
      <c r="G15" s="105"/>
      <c r="H15" s="105"/>
      <c r="I15" s="106"/>
      <c r="K15" s="61"/>
      <c r="O15" s="62"/>
      <c r="P15" s="61"/>
      <c r="U15" s="62"/>
    </row>
    <row r="16" spans="1:21" x14ac:dyDescent="0.25">
      <c r="A16" s="104"/>
      <c r="B16" s="105"/>
      <c r="C16" s="105"/>
      <c r="D16" s="105"/>
      <c r="E16" s="105"/>
      <c r="F16" s="105"/>
      <c r="G16" s="105"/>
      <c r="H16" s="105"/>
      <c r="I16" s="106"/>
      <c r="K16" s="61"/>
      <c r="O16" s="62"/>
      <c r="P16" s="61"/>
      <c r="U16" s="62"/>
    </row>
    <row r="17" spans="1:21" x14ac:dyDescent="0.25">
      <c r="A17" s="104"/>
      <c r="B17" s="105"/>
      <c r="C17" s="105"/>
      <c r="D17" s="105"/>
      <c r="E17" s="105"/>
      <c r="F17" s="105"/>
      <c r="G17" s="105"/>
      <c r="H17" s="105"/>
      <c r="I17" s="106"/>
      <c r="K17" s="61"/>
      <c r="O17" s="62"/>
      <c r="P17" s="63"/>
      <c r="Q17" s="64"/>
      <c r="R17" s="64"/>
      <c r="S17" s="64"/>
      <c r="T17" s="64"/>
      <c r="U17" s="65"/>
    </row>
    <row r="18" spans="1:21" x14ac:dyDescent="0.25">
      <c r="A18" s="104"/>
      <c r="B18" s="105"/>
      <c r="C18" s="105"/>
      <c r="D18" s="105"/>
      <c r="E18" s="105"/>
      <c r="F18" s="105"/>
      <c r="G18" s="105"/>
      <c r="H18" s="105"/>
      <c r="I18" s="106"/>
      <c r="K18" s="61"/>
      <c r="O18" s="62"/>
    </row>
    <row r="19" spans="1:21" x14ac:dyDescent="0.25">
      <c r="A19" s="104"/>
      <c r="B19" s="105"/>
      <c r="C19" s="105"/>
      <c r="D19" s="105"/>
      <c r="E19" s="105"/>
      <c r="F19" s="105"/>
      <c r="G19" s="105"/>
      <c r="H19" s="105"/>
      <c r="I19" s="106"/>
      <c r="K19" s="61"/>
      <c r="O19" s="62"/>
    </row>
    <row r="20" spans="1:21" x14ac:dyDescent="0.25">
      <c r="A20" s="104"/>
      <c r="B20" s="105"/>
      <c r="C20" s="105"/>
      <c r="D20" s="105"/>
      <c r="E20" s="105"/>
      <c r="F20" s="105"/>
      <c r="G20" s="105"/>
      <c r="H20" s="105"/>
      <c r="I20" s="106"/>
      <c r="K20" s="61"/>
      <c r="O20" s="62"/>
    </row>
    <row r="21" spans="1:21" x14ac:dyDescent="0.25">
      <c r="A21" s="104"/>
      <c r="B21" s="105"/>
      <c r="C21" s="105"/>
      <c r="D21" s="105"/>
      <c r="E21" s="105"/>
      <c r="F21" s="105"/>
      <c r="G21" s="105"/>
      <c r="H21" s="105"/>
      <c r="I21" s="106"/>
      <c r="K21" s="61"/>
      <c r="O21" s="62"/>
    </row>
    <row r="22" spans="1:21" x14ac:dyDescent="0.25">
      <c r="A22" s="104"/>
      <c r="B22" s="105"/>
      <c r="C22" s="105"/>
      <c r="D22" s="105"/>
      <c r="E22" s="105"/>
      <c r="F22" s="105"/>
      <c r="G22" s="105"/>
      <c r="H22" s="105"/>
      <c r="I22" s="106"/>
      <c r="K22" s="61"/>
      <c r="O22" s="62"/>
    </row>
    <row r="23" spans="1:21" x14ac:dyDescent="0.25">
      <c r="A23" s="104"/>
      <c r="B23" s="105"/>
      <c r="C23" s="105"/>
      <c r="D23" s="105"/>
      <c r="E23" s="105"/>
      <c r="F23" s="105"/>
      <c r="G23" s="105"/>
      <c r="H23" s="105"/>
      <c r="I23" s="106"/>
      <c r="K23" s="61"/>
      <c r="O23" s="62"/>
    </row>
    <row r="24" spans="1:21" x14ac:dyDescent="0.25">
      <c r="A24" s="104"/>
      <c r="B24" s="105"/>
      <c r="C24" s="105"/>
      <c r="D24" s="105"/>
      <c r="E24" s="105"/>
      <c r="F24" s="105"/>
      <c r="G24" s="105"/>
      <c r="H24" s="105"/>
      <c r="I24" s="106"/>
      <c r="K24" s="61"/>
      <c r="O24" s="62"/>
    </row>
    <row r="25" spans="1:21" x14ac:dyDescent="0.25">
      <c r="A25" s="104"/>
      <c r="B25" s="105"/>
      <c r="C25" s="105"/>
      <c r="D25" s="105"/>
      <c r="E25" s="105"/>
      <c r="F25" s="105"/>
      <c r="G25" s="105"/>
      <c r="H25" s="105"/>
      <c r="I25" s="106"/>
      <c r="K25" s="61"/>
      <c r="O25" s="62"/>
    </row>
    <row r="26" spans="1:21" x14ac:dyDescent="0.25">
      <c r="A26" s="104"/>
      <c r="B26" s="105"/>
      <c r="C26" s="105"/>
      <c r="D26" s="105"/>
      <c r="E26" s="105"/>
      <c r="F26" s="105"/>
      <c r="G26" s="105"/>
      <c r="H26" s="105"/>
      <c r="I26" s="106"/>
      <c r="K26" s="61"/>
      <c r="O26" s="62"/>
    </row>
    <row r="27" spans="1:21" x14ac:dyDescent="0.25">
      <c r="A27" s="104"/>
      <c r="B27" s="105"/>
      <c r="C27" s="105"/>
      <c r="D27" s="105"/>
      <c r="E27" s="105"/>
      <c r="F27" s="105"/>
      <c r="G27" s="105"/>
      <c r="H27" s="105"/>
      <c r="I27" s="106"/>
      <c r="K27" s="61"/>
      <c r="O27" s="62"/>
    </row>
    <row r="28" spans="1:21" x14ac:dyDescent="0.25">
      <c r="A28" s="104"/>
      <c r="B28" s="105"/>
      <c r="C28" s="105"/>
      <c r="D28" s="105"/>
      <c r="E28" s="105"/>
      <c r="F28" s="105"/>
      <c r="G28" s="105"/>
      <c r="H28" s="105"/>
      <c r="I28" s="106"/>
      <c r="K28" s="61"/>
      <c r="O28" s="62"/>
    </row>
    <row r="29" spans="1:21" x14ac:dyDescent="0.25">
      <c r="A29" s="104"/>
      <c r="B29" s="105"/>
      <c r="C29" s="105"/>
      <c r="D29" s="105"/>
      <c r="E29" s="105"/>
      <c r="F29" s="105"/>
      <c r="G29" s="105"/>
      <c r="H29" s="105"/>
      <c r="I29" s="106"/>
      <c r="K29" s="63"/>
      <c r="L29" s="64"/>
      <c r="M29" s="64"/>
      <c r="N29" s="64"/>
      <c r="O29" s="65"/>
    </row>
    <row r="30" spans="1:21" ht="15.75" thickBot="1" x14ac:dyDescent="0.3">
      <c r="A30" s="107"/>
      <c r="B30" s="108"/>
      <c r="C30" s="108"/>
      <c r="D30" s="108"/>
      <c r="E30" s="108"/>
      <c r="F30" s="108"/>
      <c r="G30" s="108"/>
      <c r="H30" s="108"/>
      <c r="I30" s="109"/>
    </row>
    <row r="31" spans="1:21" ht="15.75" thickBot="1" x14ac:dyDescent="0.3"/>
    <row r="32" spans="1:21" x14ac:dyDescent="0.25">
      <c r="C32" s="110" t="s">
        <v>315</v>
      </c>
      <c r="D32" s="111"/>
      <c r="E32" s="111"/>
      <c r="F32" s="112"/>
    </row>
    <row r="33" spans="3:6" ht="15.75" thickBot="1" x14ac:dyDescent="0.3">
      <c r="C33" s="113"/>
      <c r="D33" s="114"/>
      <c r="E33" s="114"/>
      <c r="F33" s="115"/>
    </row>
    <row r="34" spans="3:6" ht="15.75" thickBot="1" x14ac:dyDescent="0.3">
      <c r="C34" s="76" t="s">
        <v>316</v>
      </c>
      <c r="D34" s="116" t="s">
        <v>317</v>
      </c>
      <c r="E34" s="117"/>
      <c r="F34" s="118"/>
    </row>
    <row r="35" spans="3:6" ht="15.75" thickBot="1" x14ac:dyDescent="0.3">
      <c r="C35" s="76" t="s">
        <v>318</v>
      </c>
      <c r="D35" s="119" t="s">
        <v>319</v>
      </c>
      <c r="E35" s="120"/>
      <c r="F35" s="121"/>
    </row>
  </sheetData>
  <sheetProtection algorithmName="SHA-512" hashValue="SjmX5YIlU+NjYM0V+M8ypkOa+tcFYVdvNpxBSIgmvL+S+8LQA4Od52sIbiJ6drWKDaZXnLvXRf439NFkcwufeQ==" saltValue="0o2GOQmc0fP3NIdM9ERdkA==" spinCount="100000" sheet="1" objects="1" scenarios="1" selectLockedCells="1" sort="0" autoFilter="0" selectUnlockedCells="1"/>
  <mergeCells count="4">
    <mergeCell ref="A1:I30"/>
    <mergeCell ref="C32:F33"/>
    <mergeCell ref="D34:F34"/>
    <mergeCell ref="D35:F35"/>
  </mergeCells>
  <hyperlinks>
    <hyperlink ref="D34" r:id="rId1"/>
    <hyperlink ref="D35"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Z95"/>
  <sheetViews>
    <sheetView zoomScaleNormal="100" workbookViewId="0">
      <selection activeCell="A4" sqref="A4:E5"/>
    </sheetView>
  </sheetViews>
  <sheetFormatPr defaultColWidth="10.7109375" defaultRowHeight="12.75" x14ac:dyDescent="0.2"/>
  <cols>
    <col min="1" max="20" width="5.7109375" style="1" customWidth="1"/>
    <col min="21" max="21" width="10.7109375" style="1"/>
    <col min="22" max="26" width="10.7109375" style="1" hidden="1" customWidth="1"/>
    <col min="27" max="16384" width="10.7109375" style="1"/>
  </cols>
  <sheetData>
    <row r="1" spans="1:20" ht="12.75" customHeight="1" x14ac:dyDescent="0.2">
      <c r="A1" s="122" t="s">
        <v>324</v>
      </c>
      <c r="B1" s="123"/>
      <c r="C1" s="218" t="s">
        <v>0</v>
      </c>
      <c r="D1" s="218"/>
      <c r="E1" s="218"/>
      <c r="F1" s="218"/>
      <c r="G1" s="218"/>
      <c r="H1" s="218"/>
      <c r="I1" s="218"/>
      <c r="J1" s="218"/>
      <c r="K1" s="218"/>
      <c r="L1" s="218"/>
      <c r="M1" s="218"/>
      <c r="N1" s="218"/>
      <c r="O1" s="218"/>
      <c r="P1" s="218"/>
      <c r="Q1" s="218"/>
      <c r="R1" s="218"/>
      <c r="S1" s="218"/>
      <c r="T1" s="219"/>
    </row>
    <row r="2" spans="1:20" ht="12.75" customHeight="1" thickBot="1" x14ac:dyDescent="0.25">
      <c r="A2" s="124"/>
      <c r="B2" s="125"/>
      <c r="C2" s="245"/>
      <c r="D2" s="245"/>
      <c r="E2" s="245"/>
      <c r="F2" s="245"/>
      <c r="G2" s="245"/>
      <c r="H2" s="245"/>
      <c r="I2" s="245"/>
      <c r="J2" s="245"/>
      <c r="K2" s="245"/>
      <c r="L2" s="245"/>
      <c r="M2" s="245"/>
      <c r="N2" s="245"/>
      <c r="O2" s="245"/>
      <c r="P2" s="245"/>
      <c r="Q2" s="245"/>
      <c r="R2" s="245"/>
      <c r="S2" s="245"/>
      <c r="T2" s="246"/>
    </row>
    <row r="3" spans="1:20" ht="12.75" customHeight="1" thickBot="1" x14ac:dyDescent="0.25">
      <c r="A3" s="310" t="s">
        <v>280</v>
      </c>
      <c r="B3" s="311"/>
      <c r="C3" s="311"/>
      <c r="D3" s="311"/>
      <c r="E3" s="312"/>
      <c r="F3" s="170" t="s">
        <v>1</v>
      </c>
      <c r="G3" s="172"/>
      <c r="H3" s="170" t="s">
        <v>2</v>
      </c>
      <c r="I3" s="172"/>
      <c r="J3" s="170" t="s">
        <v>3</v>
      </c>
      <c r="K3" s="172"/>
      <c r="L3" s="170" t="s">
        <v>4</v>
      </c>
      <c r="M3" s="172"/>
      <c r="N3" s="170" t="s">
        <v>61</v>
      </c>
      <c r="O3" s="171"/>
      <c r="P3" s="172"/>
      <c r="Q3" s="310" t="s">
        <v>234</v>
      </c>
      <c r="R3" s="311"/>
      <c r="S3" s="311"/>
      <c r="T3" s="312"/>
    </row>
    <row r="4" spans="1:20" ht="12.75" customHeight="1" x14ac:dyDescent="0.2">
      <c r="A4" s="304"/>
      <c r="B4" s="305"/>
      <c r="C4" s="305"/>
      <c r="D4" s="305"/>
      <c r="E4" s="306"/>
      <c r="F4" s="288"/>
      <c r="G4" s="289"/>
      <c r="H4" s="251"/>
      <c r="I4" s="302"/>
      <c r="J4" s="275" t="s">
        <v>286</v>
      </c>
      <c r="K4" s="277"/>
      <c r="L4" s="298" t="s">
        <v>286</v>
      </c>
      <c r="M4" s="299"/>
      <c r="N4" s="304"/>
      <c r="O4" s="305"/>
      <c r="P4" s="306"/>
      <c r="Q4" s="313"/>
      <c r="R4" s="314"/>
      <c r="S4" s="314"/>
      <c r="T4" s="315"/>
    </row>
    <row r="5" spans="1:20" ht="12.75" customHeight="1" thickBot="1" x14ac:dyDescent="0.25">
      <c r="A5" s="307"/>
      <c r="B5" s="308"/>
      <c r="C5" s="308"/>
      <c r="D5" s="308"/>
      <c r="E5" s="309"/>
      <c r="F5" s="290"/>
      <c r="G5" s="291"/>
      <c r="H5" s="253"/>
      <c r="I5" s="303"/>
      <c r="J5" s="278"/>
      <c r="K5" s="280"/>
      <c r="L5" s="300"/>
      <c r="M5" s="301"/>
      <c r="N5" s="307"/>
      <c r="O5" s="308"/>
      <c r="P5" s="309"/>
      <c r="Q5" s="316"/>
      <c r="R5" s="317"/>
      <c r="S5" s="317"/>
      <c r="T5" s="318"/>
    </row>
    <row r="6" spans="1:20" ht="12.75" customHeight="1" thickBot="1" x14ac:dyDescent="0.25">
      <c r="A6" s="170" t="s">
        <v>58</v>
      </c>
      <c r="B6" s="171"/>
      <c r="C6" s="171"/>
      <c r="D6" s="171"/>
      <c r="E6" s="171"/>
      <c r="F6" s="172"/>
      <c r="G6" s="170" t="s">
        <v>7</v>
      </c>
      <c r="H6" s="171"/>
      <c r="I6" s="171"/>
      <c r="J6" s="297"/>
      <c r="K6" s="158" t="s">
        <v>274</v>
      </c>
      <c r="L6" s="159"/>
      <c r="M6" s="159"/>
      <c r="N6" s="160"/>
      <c r="O6" s="292" t="s">
        <v>275</v>
      </c>
      <c r="P6" s="293"/>
      <c r="Q6" s="293"/>
      <c r="R6" s="294"/>
      <c r="S6" s="295" t="s">
        <v>59</v>
      </c>
      <c r="T6" s="296"/>
    </row>
    <row r="7" spans="1:20" ht="12.75" customHeight="1" x14ac:dyDescent="0.2">
      <c r="A7" s="263" t="s">
        <v>286</v>
      </c>
      <c r="B7" s="247"/>
      <c r="C7" s="247"/>
      <c r="D7" s="247"/>
      <c r="E7" s="247"/>
      <c r="F7" s="248"/>
      <c r="G7" s="264"/>
      <c r="H7" s="265"/>
      <c r="I7" s="265"/>
      <c r="J7" s="266"/>
      <c r="K7" s="31" t="s">
        <v>276</v>
      </c>
      <c r="L7" s="346" t="s">
        <v>286</v>
      </c>
      <c r="M7" s="347"/>
      <c r="N7" s="348"/>
      <c r="O7" s="33" t="s">
        <v>276</v>
      </c>
      <c r="P7" s="342" t="s">
        <v>286</v>
      </c>
      <c r="Q7" s="319"/>
      <c r="R7" s="320"/>
      <c r="S7" s="270" t="str">
        <f>IF(OR(L7="",P7="",L8="",P8=""),"",SUM(IF(VALUE(L7)&lt;1200, 1, 0), SUM(DATEDIF(DATE(LEFT(L8,LEN(L8)-4), MID(L8,LEN(L8)-3, 2), RIGHT(L8,LEN(L8)-6)), DATE(LEFT(P8,LEN(P8)-4), MID(P8,LEN(P8)-3, 2), RIGHT(P8,LEN(P8)-6)), "d"),-1), IF(VALUE(P7)&lt;1200, 0, 1)))</f>
        <v/>
      </c>
      <c r="T7" s="271"/>
    </row>
    <row r="8" spans="1:20" ht="12.75" customHeight="1" thickBot="1" x14ac:dyDescent="0.25">
      <c r="A8" s="272" t="s">
        <v>286</v>
      </c>
      <c r="B8" s="273"/>
      <c r="C8" s="273"/>
      <c r="D8" s="273"/>
      <c r="E8" s="273"/>
      <c r="F8" s="274"/>
      <c r="G8" s="267"/>
      <c r="H8" s="268"/>
      <c r="I8" s="268"/>
      <c r="J8" s="269"/>
      <c r="K8" s="32" t="s">
        <v>25</v>
      </c>
      <c r="L8" s="343" t="s">
        <v>286</v>
      </c>
      <c r="M8" s="344"/>
      <c r="N8" s="345"/>
      <c r="O8" s="34" t="s">
        <v>25</v>
      </c>
      <c r="P8" s="339" t="s">
        <v>286</v>
      </c>
      <c r="Q8" s="340"/>
      <c r="R8" s="341"/>
      <c r="S8" s="241"/>
      <c r="T8" s="243"/>
    </row>
    <row r="9" spans="1:20" ht="13.5" thickBot="1" x14ac:dyDescent="0.25">
      <c r="A9" s="158" t="s">
        <v>37</v>
      </c>
      <c r="B9" s="159"/>
      <c r="C9" s="160"/>
      <c r="D9" s="158" t="s">
        <v>60</v>
      </c>
      <c r="E9" s="159"/>
      <c r="F9" s="159"/>
      <c r="G9" s="160"/>
      <c r="H9" s="158" t="s">
        <v>36</v>
      </c>
      <c r="I9" s="159"/>
      <c r="J9" s="160"/>
      <c r="K9" s="281" t="s">
        <v>62</v>
      </c>
      <c r="L9" s="282"/>
      <c r="M9" s="282"/>
      <c r="N9" s="283"/>
      <c r="O9" s="284" t="s">
        <v>281</v>
      </c>
      <c r="P9" s="285"/>
      <c r="Q9" s="285"/>
      <c r="R9" s="285"/>
      <c r="S9" s="286"/>
      <c r="T9" s="287"/>
    </row>
    <row r="10" spans="1:20" ht="15" customHeight="1" x14ac:dyDescent="0.2">
      <c r="A10" s="275" t="s">
        <v>286</v>
      </c>
      <c r="B10" s="276"/>
      <c r="C10" s="277"/>
      <c r="D10" s="275" t="s">
        <v>286</v>
      </c>
      <c r="E10" s="276"/>
      <c r="F10" s="276"/>
      <c r="G10" s="277"/>
      <c r="H10" s="275"/>
      <c r="I10" s="276"/>
      <c r="J10" s="277"/>
      <c r="K10" s="352"/>
      <c r="L10" s="353"/>
      <c r="M10" s="353"/>
      <c r="N10" s="356" t="s">
        <v>221</v>
      </c>
      <c r="O10" s="251"/>
      <c r="P10" s="252"/>
      <c r="Q10" s="247"/>
      <c r="R10" s="247"/>
      <c r="S10" s="247"/>
      <c r="T10" s="248"/>
    </row>
    <row r="11" spans="1:20" ht="12.75" customHeight="1" thickBot="1" x14ac:dyDescent="0.25">
      <c r="A11" s="278"/>
      <c r="B11" s="279"/>
      <c r="C11" s="280"/>
      <c r="D11" s="278"/>
      <c r="E11" s="279"/>
      <c r="F11" s="279"/>
      <c r="G11" s="280"/>
      <c r="H11" s="278"/>
      <c r="I11" s="279"/>
      <c r="J11" s="280"/>
      <c r="K11" s="354"/>
      <c r="L11" s="355"/>
      <c r="M11" s="355"/>
      <c r="N11" s="357"/>
      <c r="O11" s="253"/>
      <c r="P11" s="127"/>
      <c r="Q11" s="249"/>
      <c r="R11" s="249"/>
      <c r="S11" s="249"/>
      <c r="T11" s="250"/>
    </row>
    <row r="12" spans="1:20" ht="12.75" customHeight="1" x14ac:dyDescent="0.2">
      <c r="A12" s="244" t="s">
        <v>90</v>
      </c>
      <c r="B12" s="218"/>
      <c r="C12" s="218"/>
      <c r="D12" s="218"/>
      <c r="E12" s="218"/>
      <c r="F12" s="218"/>
      <c r="G12" s="218"/>
      <c r="H12" s="218"/>
      <c r="I12" s="218"/>
      <c r="J12" s="218"/>
      <c r="K12" s="218"/>
      <c r="L12" s="218"/>
      <c r="M12" s="218"/>
      <c r="N12" s="218"/>
      <c r="O12" s="218"/>
      <c r="P12" s="218"/>
      <c r="Q12" s="218"/>
      <c r="R12" s="218"/>
      <c r="S12" s="218"/>
      <c r="T12" s="219"/>
    </row>
    <row r="13" spans="1:20" ht="12.75" customHeight="1" thickBot="1" x14ac:dyDescent="0.25">
      <c r="A13" s="216"/>
      <c r="B13" s="217"/>
      <c r="C13" s="217"/>
      <c r="D13" s="217"/>
      <c r="E13" s="217"/>
      <c r="F13" s="217"/>
      <c r="G13" s="217"/>
      <c r="H13" s="217"/>
      <c r="I13" s="217"/>
      <c r="J13" s="217"/>
      <c r="K13" s="217"/>
      <c r="L13" s="245"/>
      <c r="M13" s="245"/>
      <c r="N13" s="245"/>
      <c r="O13" s="245"/>
      <c r="P13" s="245"/>
      <c r="Q13" s="245"/>
      <c r="R13" s="245"/>
      <c r="S13" s="245"/>
      <c r="T13" s="246"/>
    </row>
    <row r="14" spans="1:20" ht="12.75" customHeight="1" x14ac:dyDescent="0.2">
      <c r="A14" s="35" t="b">
        <v>0</v>
      </c>
      <c r="B14" s="261" t="s">
        <v>83</v>
      </c>
      <c r="C14" s="261"/>
      <c r="D14" s="261"/>
      <c r="E14" s="261"/>
      <c r="F14" s="261"/>
      <c r="G14" s="261"/>
      <c r="H14" s="261"/>
      <c r="I14" s="261"/>
      <c r="J14" s="261"/>
      <c r="K14" s="261"/>
      <c r="L14" s="148" t="s">
        <v>31</v>
      </c>
      <c r="M14" s="149"/>
      <c r="N14" s="149"/>
      <c r="O14" s="149"/>
      <c r="P14" s="149"/>
      <c r="Q14" s="149"/>
      <c r="R14" s="149"/>
      <c r="S14" s="149"/>
      <c r="T14" s="74"/>
    </row>
    <row r="15" spans="1:20" ht="13.5" customHeight="1" x14ac:dyDescent="0.2">
      <c r="A15" s="36" t="b">
        <v>0</v>
      </c>
      <c r="B15" s="214" t="s">
        <v>271</v>
      </c>
      <c r="C15" s="214"/>
      <c r="D15" s="214"/>
      <c r="E15" s="214"/>
      <c r="F15" s="214"/>
      <c r="G15" s="214"/>
      <c r="H15" s="214"/>
      <c r="I15" s="214"/>
      <c r="J15" s="214"/>
      <c r="K15" s="214"/>
      <c r="L15" s="161" t="s">
        <v>87</v>
      </c>
      <c r="M15" s="162"/>
      <c r="N15" s="162"/>
      <c r="O15" s="162"/>
      <c r="P15" s="162"/>
      <c r="Q15" s="162"/>
      <c r="R15" s="162"/>
      <c r="S15" s="162"/>
      <c r="T15" s="75"/>
    </row>
    <row r="16" spans="1:20" ht="13.5" customHeight="1" x14ac:dyDescent="0.2">
      <c r="A16" s="36" t="b">
        <v>0</v>
      </c>
      <c r="B16" s="214" t="s">
        <v>228</v>
      </c>
      <c r="C16" s="214"/>
      <c r="D16" s="214"/>
      <c r="E16" s="214"/>
      <c r="F16" s="214"/>
      <c r="G16" s="214"/>
      <c r="H16" s="214"/>
      <c r="I16" s="214"/>
      <c r="J16" s="214"/>
      <c r="K16" s="214"/>
      <c r="L16" s="161" t="s">
        <v>30</v>
      </c>
      <c r="M16" s="162"/>
      <c r="N16" s="162"/>
      <c r="O16" s="162"/>
      <c r="P16" s="162"/>
      <c r="Q16" s="162"/>
      <c r="R16" s="162"/>
      <c r="S16" s="162"/>
      <c r="T16" s="75"/>
    </row>
    <row r="17" spans="1:20" ht="13.5" customHeight="1" x14ac:dyDescent="0.2">
      <c r="A17" s="36" t="b">
        <v>0</v>
      </c>
      <c r="B17" s="214" t="s">
        <v>227</v>
      </c>
      <c r="C17" s="214"/>
      <c r="D17" s="214"/>
      <c r="E17" s="214"/>
      <c r="F17" s="214"/>
      <c r="G17" s="214"/>
      <c r="H17" s="214"/>
      <c r="I17" s="214"/>
      <c r="J17" s="214"/>
      <c r="K17" s="214"/>
      <c r="L17" s="161" t="s">
        <v>28</v>
      </c>
      <c r="M17" s="162"/>
      <c r="N17" s="162"/>
      <c r="O17" s="162"/>
      <c r="P17" s="162"/>
      <c r="Q17" s="162"/>
      <c r="R17" s="162"/>
      <c r="S17" s="162"/>
      <c r="T17" s="75"/>
    </row>
    <row r="18" spans="1:20" ht="12.75" customHeight="1" x14ac:dyDescent="0.2">
      <c r="A18" s="257" t="b">
        <v>0</v>
      </c>
      <c r="B18" s="236" t="s">
        <v>85</v>
      </c>
      <c r="C18" s="236"/>
      <c r="D18" s="236"/>
      <c r="E18" s="236"/>
      <c r="F18" s="236"/>
      <c r="G18" s="236"/>
      <c r="H18" s="236"/>
      <c r="I18" s="236"/>
      <c r="J18" s="236"/>
      <c r="K18" s="236"/>
      <c r="L18" s="259" t="s">
        <v>89</v>
      </c>
      <c r="M18" s="260"/>
      <c r="N18" s="260"/>
      <c r="O18" s="260"/>
      <c r="P18" s="260"/>
      <c r="Q18" s="260"/>
      <c r="R18" s="260"/>
      <c r="S18" s="260"/>
      <c r="T18" s="262"/>
    </row>
    <row r="19" spans="1:20" ht="12.75" customHeight="1" x14ac:dyDescent="0.2">
      <c r="A19" s="258"/>
      <c r="B19" s="237"/>
      <c r="C19" s="237"/>
      <c r="D19" s="237"/>
      <c r="E19" s="237"/>
      <c r="F19" s="237"/>
      <c r="G19" s="237"/>
      <c r="H19" s="237"/>
      <c r="I19" s="237"/>
      <c r="J19" s="237"/>
      <c r="K19" s="237"/>
      <c r="L19" s="259"/>
      <c r="M19" s="260"/>
      <c r="N19" s="260"/>
      <c r="O19" s="260"/>
      <c r="P19" s="260"/>
      <c r="Q19" s="260"/>
      <c r="R19" s="260"/>
      <c r="S19" s="260"/>
      <c r="T19" s="262"/>
    </row>
    <row r="20" spans="1:20" ht="12.75" customHeight="1" x14ac:dyDescent="0.2">
      <c r="A20" s="36" t="b">
        <v>0</v>
      </c>
      <c r="B20" s="214" t="s">
        <v>226</v>
      </c>
      <c r="C20" s="214"/>
      <c r="D20" s="214"/>
      <c r="E20" s="214"/>
      <c r="F20" s="214"/>
      <c r="G20" s="214"/>
      <c r="H20" s="214"/>
      <c r="I20" s="214"/>
      <c r="J20" s="214"/>
      <c r="K20" s="44"/>
      <c r="L20" s="161" t="s">
        <v>88</v>
      </c>
      <c r="M20" s="162"/>
      <c r="N20" s="162"/>
      <c r="O20" s="162"/>
      <c r="P20" s="162"/>
      <c r="Q20" s="162"/>
      <c r="R20" s="162"/>
      <c r="S20" s="162"/>
      <c r="T20" s="75"/>
    </row>
    <row r="21" spans="1:20" ht="13.5" customHeight="1" x14ac:dyDescent="0.2">
      <c r="A21" s="36" t="b">
        <v>0</v>
      </c>
      <c r="B21" s="214" t="s">
        <v>229</v>
      </c>
      <c r="C21" s="214"/>
      <c r="D21" s="214"/>
      <c r="E21" s="214"/>
      <c r="F21" s="214"/>
      <c r="G21" s="214"/>
      <c r="H21" s="214"/>
      <c r="I21" s="214"/>
      <c r="J21" s="214"/>
      <c r="K21" s="214"/>
      <c r="L21" s="161" t="s">
        <v>26</v>
      </c>
      <c r="M21" s="162"/>
      <c r="N21" s="162"/>
      <c r="O21" s="162"/>
      <c r="P21" s="162"/>
      <c r="Q21" s="162"/>
      <c r="R21" s="162"/>
      <c r="S21" s="162"/>
      <c r="T21" s="54"/>
    </row>
    <row r="22" spans="1:20" ht="12.75" customHeight="1" x14ac:dyDescent="0.2">
      <c r="A22" s="36" t="b">
        <v>0</v>
      </c>
      <c r="B22" s="214" t="s">
        <v>84</v>
      </c>
      <c r="C22" s="214"/>
      <c r="D22" s="214"/>
      <c r="E22" s="214"/>
      <c r="F22" s="214"/>
      <c r="G22" s="214"/>
      <c r="H22" s="214"/>
      <c r="I22" s="214"/>
      <c r="J22" s="214"/>
      <c r="K22" s="214"/>
      <c r="L22" s="161" t="s">
        <v>270</v>
      </c>
      <c r="M22" s="162"/>
      <c r="N22" s="162"/>
      <c r="O22" s="162"/>
      <c r="P22" s="162"/>
      <c r="Q22" s="162"/>
      <c r="R22" s="162"/>
      <c r="S22" s="162"/>
      <c r="T22" s="75"/>
    </row>
    <row r="23" spans="1:20" ht="13.5" customHeight="1" x14ac:dyDescent="0.2">
      <c r="A23" s="36" t="b">
        <v>0</v>
      </c>
      <c r="B23" s="214" t="s">
        <v>86</v>
      </c>
      <c r="C23" s="214"/>
      <c r="D23" s="214"/>
      <c r="E23" s="214"/>
      <c r="F23" s="214"/>
      <c r="G23" s="214"/>
      <c r="H23" s="214"/>
      <c r="I23" s="214"/>
      <c r="J23" s="214"/>
      <c r="K23" s="214"/>
      <c r="L23" s="254" t="s">
        <v>288</v>
      </c>
      <c r="M23" s="255"/>
      <c r="N23" s="255"/>
      <c r="O23" s="255"/>
      <c r="P23" s="255"/>
      <c r="Q23" s="255"/>
      <c r="R23" s="255"/>
      <c r="S23" s="255"/>
      <c r="T23" s="256"/>
    </row>
    <row r="24" spans="1:20" ht="13.5" customHeight="1" x14ac:dyDescent="0.2">
      <c r="A24" s="36" t="b">
        <v>0</v>
      </c>
      <c r="B24" s="214" t="s">
        <v>272</v>
      </c>
      <c r="C24" s="214"/>
      <c r="D24" s="214"/>
      <c r="E24" s="214"/>
      <c r="F24" s="214"/>
      <c r="G24" s="214"/>
      <c r="H24" s="214"/>
      <c r="I24" s="214"/>
      <c r="J24" s="214"/>
      <c r="K24" s="214"/>
      <c r="L24" s="227"/>
      <c r="M24" s="228"/>
      <c r="N24" s="228"/>
      <c r="O24" s="228"/>
      <c r="P24" s="228"/>
      <c r="Q24" s="228"/>
      <c r="R24" s="228"/>
      <c r="S24" s="228"/>
      <c r="T24" s="229"/>
    </row>
    <row r="25" spans="1:20" ht="12.75" customHeight="1" x14ac:dyDescent="0.2">
      <c r="A25" s="36" t="b">
        <v>0</v>
      </c>
      <c r="B25" s="214" t="s">
        <v>273</v>
      </c>
      <c r="C25" s="214"/>
      <c r="D25" s="214"/>
      <c r="E25" s="214"/>
      <c r="F25" s="214"/>
      <c r="G25" s="214"/>
      <c r="H25" s="214"/>
      <c r="I25" s="214"/>
      <c r="J25" s="214"/>
      <c r="K25" s="214"/>
      <c r="L25" s="238" t="s">
        <v>289</v>
      </c>
      <c r="M25" s="239"/>
      <c r="N25" s="239"/>
      <c r="O25" s="239"/>
      <c r="P25" s="239" t="s">
        <v>287</v>
      </c>
      <c r="Q25" s="239"/>
      <c r="R25" s="239"/>
      <c r="S25" s="239"/>
      <c r="T25" s="240"/>
    </row>
    <row r="26" spans="1:20" ht="13.5" customHeight="1" thickBot="1" x14ac:dyDescent="0.25">
      <c r="A26" s="36" t="b">
        <v>0</v>
      </c>
      <c r="B26" s="214" t="s">
        <v>230</v>
      </c>
      <c r="C26" s="214"/>
      <c r="D26" s="214"/>
      <c r="E26" s="214"/>
      <c r="F26" s="214"/>
      <c r="G26" s="214"/>
      <c r="H26" s="214"/>
      <c r="I26" s="214"/>
      <c r="J26" s="214"/>
      <c r="K26" s="214"/>
      <c r="L26" s="241"/>
      <c r="M26" s="242"/>
      <c r="N26" s="242"/>
      <c r="O26" s="242"/>
      <c r="P26" s="242"/>
      <c r="Q26" s="242"/>
      <c r="R26" s="242"/>
      <c r="S26" s="242"/>
      <c r="T26" s="243"/>
    </row>
    <row r="27" spans="1:20" ht="15" customHeight="1" x14ac:dyDescent="0.2">
      <c r="A27" s="36" t="b">
        <v>0</v>
      </c>
      <c r="B27" s="214" t="s">
        <v>231</v>
      </c>
      <c r="C27" s="214"/>
      <c r="D27" s="214"/>
      <c r="E27" s="214"/>
      <c r="F27" s="214"/>
      <c r="G27" s="214"/>
      <c r="H27" s="214"/>
      <c r="I27" s="214"/>
      <c r="J27" s="214"/>
      <c r="K27" s="215"/>
      <c r="L27" s="230" t="s">
        <v>91</v>
      </c>
      <c r="M27" s="230"/>
      <c r="N27" s="230"/>
      <c r="O27" s="230"/>
      <c r="P27" s="230"/>
      <c r="Q27" s="230"/>
      <c r="R27" s="230"/>
      <c r="S27" s="230"/>
      <c r="T27" s="231"/>
    </row>
    <row r="28" spans="1:20" ht="12.75" customHeight="1" x14ac:dyDescent="0.2">
      <c r="A28" s="36" t="b">
        <v>0</v>
      </c>
      <c r="B28" s="214" t="s">
        <v>232</v>
      </c>
      <c r="C28" s="214"/>
      <c r="D28" s="214"/>
      <c r="E28" s="214"/>
      <c r="F28" s="214"/>
      <c r="G28" s="214"/>
      <c r="H28" s="214"/>
      <c r="I28" s="214"/>
      <c r="J28" s="214"/>
      <c r="K28" s="215"/>
      <c r="L28" s="230"/>
      <c r="M28" s="230"/>
      <c r="N28" s="230"/>
      <c r="O28" s="230"/>
      <c r="P28" s="230"/>
      <c r="Q28" s="230"/>
      <c r="R28" s="230"/>
      <c r="S28" s="230"/>
      <c r="T28" s="231"/>
    </row>
    <row r="29" spans="1:20" ht="15" customHeight="1" x14ac:dyDescent="0.2">
      <c r="A29" s="36" t="b">
        <v>0</v>
      </c>
      <c r="B29" s="214" t="s">
        <v>282</v>
      </c>
      <c r="C29" s="214"/>
      <c r="D29" s="214"/>
      <c r="E29" s="214"/>
      <c r="F29" s="214"/>
      <c r="G29" s="214"/>
      <c r="H29" s="214"/>
      <c r="I29" s="214"/>
      <c r="J29" s="214"/>
      <c r="K29" s="215"/>
      <c r="L29" s="232" t="str">
        <f>IF(AND(Q42&gt;=0,Q42&lt;8),"LOW",IF(AND(Q42&gt;=8,Q42&lt;16),"MEDIUM",IF(Q42&gt;=16,"HIGH",)))</f>
        <v>LOW</v>
      </c>
      <c r="M29" s="232"/>
      <c r="N29" s="232"/>
      <c r="O29" s="232"/>
      <c r="P29" s="232"/>
      <c r="Q29" s="232"/>
      <c r="R29" s="232"/>
      <c r="S29" s="232"/>
      <c r="T29" s="233"/>
    </row>
    <row r="30" spans="1:20" ht="15.75" customHeight="1" thickBot="1" x14ac:dyDescent="0.25">
      <c r="A30" s="37" t="b">
        <v>0</v>
      </c>
      <c r="B30" s="196" t="s">
        <v>233</v>
      </c>
      <c r="C30" s="196"/>
      <c r="D30" s="196"/>
      <c r="E30" s="196"/>
      <c r="F30" s="196"/>
      <c r="G30" s="196"/>
      <c r="H30" s="196"/>
      <c r="I30" s="196"/>
      <c r="J30" s="196"/>
      <c r="K30" s="197"/>
      <c r="L30" s="234"/>
      <c r="M30" s="234"/>
      <c r="N30" s="234"/>
      <c r="O30" s="234"/>
      <c r="P30" s="234"/>
      <c r="Q30" s="234"/>
      <c r="R30" s="234"/>
      <c r="S30" s="234"/>
      <c r="T30" s="235"/>
    </row>
    <row r="31" spans="1:20" ht="12.75" customHeight="1" x14ac:dyDescent="0.2">
      <c r="A31" s="216" t="s">
        <v>93</v>
      </c>
      <c r="B31" s="217"/>
      <c r="C31" s="217"/>
      <c r="D31" s="217"/>
      <c r="E31" s="217"/>
      <c r="F31" s="217"/>
      <c r="G31" s="217"/>
      <c r="H31" s="217"/>
      <c r="I31" s="217"/>
      <c r="J31" s="217"/>
      <c r="K31" s="217"/>
      <c r="L31" s="218"/>
      <c r="M31" s="218"/>
      <c r="N31" s="218"/>
      <c r="O31" s="218"/>
      <c r="P31" s="218"/>
      <c r="Q31" s="218"/>
      <c r="R31" s="218"/>
      <c r="S31" s="218"/>
      <c r="T31" s="219"/>
    </row>
    <row r="32" spans="1:20" ht="12.75" customHeight="1" thickBot="1" x14ac:dyDescent="0.25">
      <c r="A32" s="216"/>
      <c r="B32" s="217"/>
      <c r="C32" s="217"/>
      <c r="D32" s="217"/>
      <c r="E32" s="217"/>
      <c r="F32" s="217"/>
      <c r="G32" s="217"/>
      <c r="H32" s="217"/>
      <c r="I32" s="217"/>
      <c r="J32" s="217"/>
      <c r="K32" s="217"/>
      <c r="L32" s="217"/>
      <c r="M32" s="217"/>
      <c r="N32" s="217"/>
      <c r="O32" s="217"/>
      <c r="P32" s="217"/>
      <c r="Q32" s="217"/>
      <c r="R32" s="217"/>
      <c r="S32" s="217"/>
      <c r="T32" s="220"/>
    </row>
    <row r="33" spans="1:20" ht="12.75" customHeight="1" x14ac:dyDescent="0.2">
      <c r="A33" s="221" t="str">
        <f>"I, "&amp;A4&amp;R42</f>
        <v>I, , recognize the contribution I make to my fellow Marines, Sailors and Civilian Marines, my brothers and sisters throughout the Marine Corps, and the world. I realize that I am essential to our mission and its success, and I pledge to maintain my commitment with a constant display of honor and professionalism. I will remain committed to wearing my seatbelt at all times while operating a motor vehicle, and when riding as a passenger. I will be sure to wear all proper PPE and get the proper training before riding any recreational vehicles. I fully understand the zero tolerance policy of the Marine Corps pertaining to drugs, and fully acknowledge my commitment not to drive while under the influence. If I choose to do either of these I will be held accountable for my actions and will be punished under the UCMJ. I will plan ahead, minimize any risks to my safety as well as others, and return physically and mentally prepared to continue “the fight.”</v>
      </c>
      <c r="B33" s="222"/>
      <c r="C33" s="222"/>
      <c r="D33" s="222"/>
      <c r="E33" s="222"/>
      <c r="F33" s="222"/>
      <c r="G33" s="222"/>
      <c r="H33" s="222"/>
      <c r="I33" s="222"/>
      <c r="J33" s="222"/>
      <c r="K33" s="222"/>
      <c r="L33" s="222"/>
      <c r="M33" s="222"/>
      <c r="N33" s="222"/>
      <c r="O33" s="222"/>
      <c r="P33" s="222"/>
      <c r="Q33" s="222"/>
      <c r="R33" s="222"/>
      <c r="S33" s="222"/>
      <c r="T33" s="223"/>
    </row>
    <row r="34" spans="1:20" x14ac:dyDescent="0.2">
      <c r="A34" s="224"/>
      <c r="B34" s="225"/>
      <c r="C34" s="225"/>
      <c r="D34" s="225"/>
      <c r="E34" s="225"/>
      <c r="F34" s="225"/>
      <c r="G34" s="225"/>
      <c r="H34" s="225"/>
      <c r="I34" s="225"/>
      <c r="J34" s="225"/>
      <c r="K34" s="225"/>
      <c r="L34" s="225"/>
      <c r="M34" s="225"/>
      <c r="N34" s="225"/>
      <c r="O34" s="225"/>
      <c r="P34" s="225"/>
      <c r="Q34" s="225"/>
      <c r="R34" s="225"/>
      <c r="S34" s="225"/>
      <c r="T34" s="226"/>
    </row>
    <row r="35" spans="1:20" ht="13.5" customHeight="1" x14ac:dyDescent="0.2">
      <c r="A35" s="224"/>
      <c r="B35" s="225"/>
      <c r="C35" s="225"/>
      <c r="D35" s="225"/>
      <c r="E35" s="225"/>
      <c r="F35" s="225"/>
      <c r="G35" s="225"/>
      <c r="H35" s="225"/>
      <c r="I35" s="225"/>
      <c r="J35" s="225"/>
      <c r="K35" s="225"/>
      <c r="L35" s="225"/>
      <c r="M35" s="225"/>
      <c r="N35" s="225"/>
      <c r="O35" s="225"/>
      <c r="P35" s="225"/>
      <c r="Q35" s="225"/>
      <c r="R35" s="225"/>
      <c r="S35" s="225"/>
      <c r="T35" s="226"/>
    </row>
    <row r="36" spans="1:20" ht="12.75" customHeight="1" x14ac:dyDescent="0.2">
      <c r="A36" s="224"/>
      <c r="B36" s="225"/>
      <c r="C36" s="225"/>
      <c r="D36" s="225"/>
      <c r="E36" s="225"/>
      <c r="F36" s="225"/>
      <c r="G36" s="225"/>
      <c r="H36" s="225"/>
      <c r="I36" s="225"/>
      <c r="J36" s="225"/>
      <c r="K36" s="225"/>
      <c r="L36" s="225"/>
      <c r="M36" s="225"/>
      <c r="N36" s="225"/>
      <c r="O36" s="225"/>
      <c r="P36" s="225"/>
      <c r="Q36" s="225"/>
      <c r="R36" s="225"/>
      <c r="S36" s="225"/>
      <c r="T36" s="226"/>
    </row>
    <row r="37" spans="1:20" x14ac:dyDescent="0.2">
      <c r="A37" s="224"/>
      <c r="B37" s="225"/>
      <c r="C37" s="225"/>
      <c r="D37" s="225"/>
      <c r="E37" s="225"/>
      <c r="F37" s="225"/>
      <c r="G37" s="225"/>
      <c r="H37" s="225"/>
      <c r="I37" s="225"/>
      <c r="J37" s="225"/>
      <c r="K37" s="225"/>
      <c r="L37" s="225"/>
      <c r="M37" s="225"/>
      <c r="N37" s="225"/>
      <c r="O37" s="225"/>
      <c r="P37" s="225"/>
      <c r="Q37" s="225"/>
      <c r="R37" s="225"/>
      <c r="S37" s="225"/>
      <c r="T37" s="226"/>
    </row>
    <row r="38" spans="1:20" x14ac:dyDescent="0.2">
      <c r="A38" s="224"/>
      <c r="B38" s="225"/>
      <c r="C38" s="225"/>
      <c r="D38" s="225"/>
      <c r="E38" s="225"/>
      <c r="F38" s="225"/>
      <c r="G38" s="225"/>
      <c r="H38" s="225"/>
      <c r="I38" s="225"/>
      <c r="J38" s="225"/>
      <c r="K38" s="225"/>
      <c r="L38" s="225"/>
      <c r="M38" s="225"/>
      <c r="N38" s="225"/>
      <c r="O38" s="225"/>
      <c r="P38" s="225"/>
      <c r="Q38" s="225"/>
      <c r="R38" s="225"/>
      <c r="S38" s="225"/>
      <c r="T38" s="226"/>
    </row>
    <row r="39" spans="1:20" x14ac:dyDescent="0.2">
      <c r="A39" s="224"/>
      <c r="B39" s="225"/>
      <c r="C39" s="225"/>
      <c r="D39" s="225"/>
      <c r="E39" s="225"/>
      <c r="F39" s="225"/>
      <c r="G39" s="225"/>
      <c r="H39" s="225"/>
      <c r="I39" s="225"/>
      <c r="J39" s="225"/>
      <c r="K39" s="225"/>
      <c r="L39" s="225"/>
      <c r="M39" s="225"/>
      <c r="N39" s="225"/>
      <c r="O39" s="225"/>
      <c r="P39" s="225"/>
      <c r="Q39" s="225"/>
      <c r="R39" s="225"/>
      <c r="S39" s="225"/>
      <c r="T39" s="226"/>
    </row>
    <row r="40" spans="1:20" x14ac:dyDescent="0.2">
      <c r="A40" s="224"/>
      <c r="B40" s="225"/>
      <c r="C40" s="225"/>
      <c r="D40" s="225"/>
      <c r="E40" s="225"/>
      <c r="F40" s="225"/>
      <c r="G40" s="225"/>
      <c r="H40" s="225"/>
      <c r="I40" s="225"/>
      <c r="J40" s="225"/>
      <c r="K40" s="225"/>
      <c r="L40" s="225"/>
      <c r="M40" s="225"/>
      <c r="N40" s="225"/>
      <c r="O40" s="225"/>
      <c r="P40" s="225"/>
      <c r="Q40" s="225"/>
      <c r="R40" s="225"/>
      <c r="S40" s="225"/>
      <c r="T40" s="226"/>
    </row>
    <row r="41" spans="1:20" ht="15.75" customHeight="1" x14ac:dyDescent="0.2">
      <c r="A41" s="26">
        <f>SUMPRODUCT(LEN(L7)-LEN(SUBSTITUTE(L7,{1,2,3,4,5,6,7,8,9,0},"")))</f>
        <v>0</v>
      </c>
      <c r="B41" s="24">
        <f>SUMPRODUCT(LEN(P7)-LEN(SUBSTITUTE(P7,{1,2,3,4,5,6,7,8,9,0},"")))</f>
        <v>0</v>
      </c>
      <c r="C41" s="321" t="s">
        <v>303</v>
      </c>
      <c r="D41" s="321"/>
      <c r="E41" s="322"/>
      <c r="F41" s="322"/>
      <c r="G41" s="322"/>
      <c r="H41" s="322"/>
      <c r="I41" s="322"/>
      <c r="J41" s="322"/>
      <c r="K41" s="22"/>
      <c r="L41" s="56" t="s">
        <v>304</v>
      </c>
      <c r="M41" s="323"/>
      <c r="N41" s="322"/>
      <c r="O41" s="322"/>
      <c r="P41" s="22"/>
      <c r="Q41" s="22"/>
      <c r="R41" s="22"/>
      <c r="S41" s="22"/>
      <c r="T41" s="23"/>
    </row>
    <row r="42" spans="1:20" x14ac:dyDescent="0.2">
      <c r="A42" s="26">
        <f>IF(A14=TRUE, 1, 0)</f>
        <v>0</v>
      </c>
      <c r="B42" s="24">
        <f>IF(A15=TRUE, 1, 0)</f>
        <v>0</v>
      </c>
      <c r="C42" s="24">
        <f>IF(A16=TRUE, 1, 0)</f>
        <v>0</v>
      </c>
      <c r="D42" s="24">
        <f>IF(A17=TRUE, 1, 0)</f>
        <v>0</v>
      </c>
      <c r="E42" s="24">
        <f>IF(A18=TRUE, 1, 0)</f>
        <v>0</v>
      </c>
      <c r="F42" s="24">
        <f>IF(A20=TRUE, 2, 0)</f>
        <v>0</v>
      </c>
      <c r="G42" s="24">
        <f>IF(A21=TRUE, 1, 0)</f>
        <v>0</v>
      </c>
      <c r="H42" s="24">
        <f>IF(A22=TRUE, 1, 0)</f>
        <v>0</v>
      </c>
      <c r="I42" s="24">
        <f>IF(A23=TRUE, 4, 0)</f>
        <v>0</v>
      </c>
      <c r="J42" s="24">
        <f>IF(A24=TRUE, 2, 0)</f>
        <v>0</v>
      </c>
      <c r="K42" s="24">
        <f>IF(A25=TRUE, 1, 0)</f>
        <v>0</v>
      </c>
      <c r="L42" s="24">
        <f>IF(A26=TRUE, 1, 0)</f>
        <v>0</v>
      </c>
      <c r="M42" s="24">
        <f>IF(A27=TRUE, 2, 0)</f>
        <v>0</v>
      </c>
      <c r="N42" s="24">
        <f>IF(A28=TRUE, 3, 0)</f>
        <v>0</v>
      </c>
      <c r="O42" s="24">
        <f>IF(A29=TRUE, 1, 0)</f>
        <v>0</v>
      </c>
      <c r="P42" s="24">
        <f>IF(A30=TRUE, 16, 0)</f>
        <v>0</v>
      </c>
      <c r="Q42" s="25">
        <f>SUM(A42:P42)</f>
        <v>0</v>
      </c>
      <c r="R42" s="25" t="s">
        <v>94</v>
      </c>
      <c r="S42" s="25" t="s">
        <v>269</v>
      </c>
      <c r="T42" s="27">
        <f ca="1">TODAY()</f>
        <v>44278</v>
      </c>
    </row>
    <row r="43" spans="1:20" ht="15" customHeight="1" x14ac:dyDescent="0.2">
      <c r="A43" s="224" t="str">
        <f>"I, "&amp;O10&amp;" "&amp;Q10&amp;S42</f>
        <v>I,  , have confirmed that the above named Marine has an acceptable plan for their time off and fully understands the valuable contribution they, as well as every Marine, makes to our nation. I am confident that SNM will take the necessary steps to minimize risks and bring honor to our Corps and country while enjoying this well-deserved break from the daily routine. I recommend approval.</v>
      </c>
      <c r="B43" s="225"/>
      <c r="C43" s="225"/>
      <c r="D43" s="225"/>
      <c r="E43" s="225"/>
      <c r="F43" s="225"/>
      <c r="G43" s="225"/>
      <c r="H43" s="225"/>
      <c r="I43" s="225"/>
      <c r="J43" s="225"/>
      <c r="K43" s="225"/>
      <c r="L43" s="225"/>
      <c r="M43" s="225"/>
      <c r="N43" s="225"/>
      <c r="O43" s="225"/>
      <c r="P43" s="225"/>
      <c r="Q43" s="225"/>
      <c r="R43" s="225"/>
      <c r="S43" s="225"/>
      <c r="T43" s="226"/>
    </row>
    <row r="44" spans="1:20" x14ac:dyDescent="0.2">
      <c r="A44" s="224"/>
      <c r="B44" s="225"/>
      <c r="C44" s="225"/>
      <c r="D44" s="225"/>
      <c r="E44" s="225"/>
      <c r="F44" s="225"/>
      <c r="G44" s="225"/>
      <c r="H44" s="225"/>
      <c r="I44" s="225"/>
      <c r="J44" s="225"/>
      <c r="K44" s="225"/>
      <c r="L44" s="225"/>
      <c r="M44" s="225"/>
      <c r="N44" s="225"/>
      <c r="O44" s="225"/>
      <c r="P44" s="225"/>
      <c r="Q44" s="225"/>
      <c r="R44" s="225"/>
      <c r="S44" s="225"/>
      <c r="T44" s="226"/>
    </row>
    <row r="45" spans="1:20" x14ac:dyDescent="0.2">
      <c r="A45" s="224"/>
      <c r="B45" s="225"/>
      <c r="C45" s="225"/>
      <c r="D45" s="225"/>
      <c r="E45" s="225"/>
      <c r="F45" s="225"/>
      <c r="G45" s="225"/>
      <c r="H45" s="225"/>
      <c r="I45" s="225"/>
      <c r="J45" s="225"/>
      <c r="K45" s="225"/>
      <c r="L45" s="225"/>
      <c r="M45" s="225"/>
      <c r="N45" s="225"/>
      <c r="O45" s="225"/>
      <c r="P45" s="225"/>
      <c r="Q45" s="225"/>
      <c r="R45" s="225"/>
      <c r="S45" s="225"/>
      <c r="T45" s="226"/>
    </row>
    <row r="46" spans="1:20" x14ac:dyDescent="0.2">
      <c r="A46" s="224"/>
      <c r="B46" s="225"/>
      <c r="C46" s="225"/>
      <c r="D46" s="225"/>
      <c r="E46" s="225"/>
      <c r="F46" s="225"/>
      <c r="G46" s="225"/>
      <c r="H46" s="225"/>
      <c r="I46" s="225"/>
      <c r="J46" s="225"/>
      <c r="K46" s="225"/>
      <c r="L46" s="225"/>
      <c r="M46" s="225"/>
      <c r="N46" s="225"/>
      <c r="O46" s="225"/>
      <c r="P46" s="225"/>
      <c r="Q46" s="225"/>
      <c r="R46" s="225"/>
      <c r="S46" s="225"/>
      <c r="T46" s="226"/>
    </row>
    <row r="47" spans="1:20" ht="15.75" customHeight="1" x14ac:dyDescent="0.2">
      <c r="A47" s="70"/>
      <c r="B47" s="22"/>
      <c r="C47" s="321" t="s">
        <v>303</v>
      </c>
      <c r="D47" s="321"/>
      <c r="E47" s="322"/>
      <c r="F47" s="322"/>
      <c r="G47" s="322"/>
      <c r="H47" s="322"/>
      <c r="I47" s="322"/>
      <c r="J47" s="322"/>
      <c r="K47" s="22"/>
      <c r="L47" s="56" t="s">
        <v>304</v>
      </c>
      <c r="M47" s="323"/>
      <c r="N47" s="322"/>
      <c r="O47" s="322"/>
      <c r="P47" s="22"/>
      <c r="Q47" s="22"/>
      <c r="R47" s="22"/>
      <c r="S47" s="22"/>
      <c r="T47" s="23"/>
    </row>
    <row r="48" spans="1:20" ht="15.75" customHeight="1" thickBot="1" x14ac:dyDescent="0.25">
      <c r="A48" s="21"/>
      <c r="B48" s="19"/>
      <c r="C48" s="71"/>
      <c r="D48" s="71"/>
      <c r="E48" s="72"/>
      <c r="F48" s="72"/>
      <c r="G48" s="72"/>
      <c r="H48" s="72"/>
      <c r="I48" s="72"/>
      <c r="J48" s="72"/>
      <c r="K48" s="19"/>
      <c r="L48" s="69"/>
      <c r="M48" s="73"/>
      <c r="N48" s="72"/>
      <c r="O48" s="72"/>
      <c r="P48" s="19"/>
      <c r="Q48" s="19"/>
      <c r="R48" s="19"/>
      <c r="S48" s="19"/>
      <c r="T48" s="20"/>
    </row>
    <row r="49" spans="1:20" ht="15" hidden="1" customHeight="1" x14ac:dyDescent="0.2">
      <c r="A49" s="349" t="s">
        <v>92</v>
      </c>
      <c r="B49" s="350"/>
      <c r="C49" s="350"/>
      <c r="D49" s="350"/>
      <c r="E49" s="350"/>
      <c r="F49" s="350"/>
      <c r="G49" s="350"/>
      <c r="H49" s="350"/>
      <c r="I49" s="350"/>
      <c r="J49" s="350"/>
      <c r="K49" s="350"/>
      <c r="L49" s="350"/>
      <c r="M49" s="350"/>
      <c r="N49" s="350"/>
      <c r="O49" s="350"/>
      <c r="P49" s="350"/>
      <c r="Q49" s="350"/>
      <c r="R49" s="350"/>
      <c r="S49" s="350"/>
      <c r="T49" s="351"/>
    </row>
    <row r="50" spans="1:20" ht="15.75" hidden="1" customHeight="1" thickBot="1" x14ac:dyDescent="0.25">
      <c r="A50" s="208"/>
      <c r="B50" s="209"/>
      <c r="C50" s="209"/>
      <c r="D50" s="209"/>
      <c r="E50" s="209"/>
      <c r="F50" s="209"/>
      <c r="G50" s="209"/>
      <c r="H50" s="209"/>
      <c r="I50" s="209"/>
      <c r="J50" s="209"/>
      <c r="K50" s="209"/>
      <c r="L50" s="209"/>
      <c r="M50" s="209"/>
      <c r="N50" s="209"/>
      <c r="O50" s="209"/>
      <c r="P50" s="209"/>
      <c r="Q50" s="209"/>
      <c r="R50" s="209"/>
      <c r="S50" s="209"/>
      <c r="T50" s="210"/>
    </row>
    <row r="51" spans="1:20" ht="13.5" hidden="1" customHeight="1" thickBot="1" x14ac:dyDescent="0.25">
      <c r="A51" s="198" t="s">
        <v>64</v>
      </c>
      <c r="B51" s="199"/>
      <c r="C51" s="199"/>
      <c r="D51" s="199"/>
      <c r="E51" s="200"/>
      <c r="F51" s="198" t="s">
        <v>63</v>
      </c>
      <c r="G51" s="199"/>
      <c r="H51" s="199"/>
      <c r="I51" s="199"/>
      <c r="J51" s="200"/>
      <c r="K51" s="198" t="s">
        <v>8</v>
      </c>
      <c r="L51" s="199"/>
      <c r="M51" s="199"/>
      <c r="N51" s="199"/>
      <c r="O51" s="200"/>
      <c r="P51" s="198" t="s">
        <v>9</v>
      </c>
      <c r="Q51" s="199"/>
      <c r="R51" s="199"/>
      <c r="S51" s="199"/>
      <c r="T51" s="200"/>
    </row>
    <row r="52" spans="1:20" hidden="1" x14ac:dyDescent="0.2">
      <c r="A52" s="201"/>
      <c r="B52" s="186"/>
      <c r="C52" s="186"/>
      <c r="D52" s="186"/>
      <c r="E52" s="187"/>
      <c r="F52" s="148" t="s">
        <v>70</v>
      </c>
      <c r="G52" s="149"/>
      <c r="H52" s="186"/>
      <c r="I52" s="186"/>
      <c r="J52" s="187"/>
      <c r="K52" s="148" t="s">
        <v>70</v>
      </c>
      <c r="L52" s="149"/>
      <c r="M52" s="186"/>
      <c r="N52" s="186"/>
      <c r="O52" s="187"/>
      <c r="P52" s="148" t="s">
        <v>72</v>
      </c>
      <c r="Q52" s="149"/>
      <c r="R52" s="319" t="s">
        <v>286</v>
      </c>
      <c r="S52" s="319"/>
      <c r="T52" s="320"/>
    </row>
    <row r="53" spans="1:20" ht="13.5" hidden="1" thickBot="1" x14ac:dyDescent="0.25">
      <c r="A53" s="202"/>
      <c r="B53" s="203"/>
      <c r="C53" s="203"/>
      <c r="D53" s="203"/>
      <c r="E53" s="204"/>
      <c r="F53" s="190" t="s">
        <v>71</v>
      </c>
      <c r="G53" s="191"/>
      <c r="H53" s="188"/>
      <c r="I53" s="188"/>
      <c r="J53" s="189"/>
      <c r="K53" s="190" t="s">
        <v>71</v>
      </c>
      <c r="L53" s="191"/>
      <c r="M53" s="188"/>
      <c r="N53" s="188"/>
      <c r="O53" s="189"/>
      <c r="P53" s="190" t="s">
        <v>73</v>
      </c>
      <c r="Q53" s="191"/>
      <c r="R53" s="194" t="s">
        <v>286</v>
      </c>
      <c r="S53" s="194"/>
      <c r="T53" s="195"/>
    </row>
    <row r="54" spans="1:20" ht="13.5" hidden="1" thickBot="1" x14ac:dyDescent="0.25">
      <c r="A54" s="174" t="s">
        <v>66</v>
      </c>
      <c r="B54" s="175"/>
      <c r="C54" s="175"/>
      <c r="D54" s="176"/>
      <c r="E54" s="177"/>
      <c r="F54" s="178"/>
      <c r="G54" s="179"/>
      <c r="H54" s="170" t="s">
        <v>67</v>
      </c>
      <c r="I54" s="171"/>
      <c r="J54" s="171"/>
      <c r="K54" s="171"/>
      <c r="L54" s="171"/>
      <c r="M54" s="171"/>
      <c r="N54" s="172"/>
      <c r="O54" s="170" t="s">
        <v>68</v>
      </c>
      <c r="P54" s="171"/>
      <c r="Q54" s="172"/>
      <c r="R54" s="170" t="s">
        <v>69</v>
      </c>
      <c r="S54" s="171"/>
      <c r="T54" s="172"/>
    </row>
    <row r="55" spans="1:20" ht="13.5" hidden="1" thickBot="1" x14ac:dyDescent="0.25">
      <c r="A55" s="174" t="s">
        <v>65</v>
      </c>
      <c r="B55" s="175"/>
      <c r="C55" s="175"/>
      <c r="D55" s="176"/>
      <c r="E55" s="177"/>
      <c r="F55" s="178"/>
      <c r="G55" s="179"/>
      <c r="H55" s="180"/>
      <c r="I55" s="181"/>
      <c r="J55" s="181"/>
      <c r="K55" s="181"/>
      <c r="L55" s="181"/>
      <c r="M55" s="181"/>
      <c r="N55" s="182"/>
      <c r="O55" s="180"/>
      <c r="P55" s="181"/>
      <c r="Q55" s="182"/>
      <c r="R55" s="180"/>
      <c r="S55" s="181"/>
      <c r="T55" s="182"/>
    </row>
    <row r="56" spans="1:20" ht="5.0999999999999996" hidden="1" customHeight="1" thickBot="1" x14ac:dyDescent="0.25">
      <c r="A56" s="16"/>
      <c r="B56" s="17"/>
      <c r="C56" s="17"/>
      <c r="D56" s="17"/>
      <c r="E56" s="17"/>
      <c r="F56" s="17"/>
      <c r="G56" s="17"/>
      <c r="H56" s="17"/>
      <c r="I56" s="17"/>
      <c r="J56" s="17"/>
      <c r="K56" s="17"/>
      <c r="L56" s="17"/>
      <c r="M56" s="17"/>
      <c r="N56" s="17"/>
      <c r="O56" s="17"/>
      <c r="P56" s="17"/>
      <c r="Q56" s="17"/>
      <c r="R56" s="17"/>
      <c r="S56" s="17"/>
      <c r="T56" s="18"/>
    </row>
    <row r="57" spans="1:20" ht="13.5" hidden="1" thickBot="1" x14ac:dyDescent="0.25">
      <c r="A57" s="170" t="s">
        <v>76</v>
      </c>
      <c r="B57" s="171"/>
      <c r="C57" s="171"/>
      <c r="D57" s="172"/>
      <c r="E57" s="47" t="s">
        <v>74</v>
      </c>
      <c r="F57" s="47" t="s">
        <v>75</v>
      </c>
      <c r="G57" s="13"/>
      <c r="H57" s="170" t="s">
        <v>76</v>
      </c>
      <c r="I57" s="171"/>
      <c r="J57" s="171"/>
      <c r="K57" s="172"/>
      <c r="L57" s="47" t="s">
        <v>74</v>
      </c>
      <c r="M57" s="47" t="s">
        <v>75</v>
      </c>
      <c r="N57" s="13"/>
      <c r="O57" s="170" t="s">
        <v>76</v>
      </c>
      <c r="P57" s="171"/>
      <c r="Q57" s="171"/>
      <c r="R57" s="172"/>
      <c r="S57" s="47" t="s">
        <v>74</v>
      </c>
      <c r="T57" s="47" t="s">
        <v>75</v>
      </c>
    </row>
    <row r="58" spans="1:20" hidden="1" x14ac:dyDescent="0.2">
      <c r="A58" s="148" t="s">
        <v>15</v>
      </c>
      <c r="B58" s="149"/>
      <c r="C58" s="149"/>
      <c r="D58" s="173"/>
      <c r="E58" s="48"/>
      <c r="F58" s="49"/>
      <c r="G58" s="14"/>
      <c r="H58" s="148" t="s">
        <v>11</v>
      </c>
      <c r="I58" s="149"/>
      <c r="J58" s="149"/>
      <c r="K58" s="173"/>
      <c r="L58" s="48"/>
      <c r="M58" s="49"/>
      <c r="N58" s="13"/>
      <c r="O58" s="148" t="s">
        <v>17</v>
      </c>
      <c r="P58" s="149"/>
      <c r="Q58" s="149"/>
      <c r="R58" s="173"/>
      <c r="S58" s="48"/>
      <c r="T58" s="49"/>
    </row>
    <row r="59" spans="1:20" hidden="1" x14ac:dyDescent="0.2">
      <c r="A59" s="161" t="s">
        <v>77</v>
      </c>
      <c r="B59" s="162"/>
      <c r="C59" s="162"/>
      <c r="D59" s="163"/>
      <c r="E59" s="50"/>
      <c r="F59" s="51"/>
      <c r="G59" s="14"/>
      <c r="H59" s="161" t="s">
        <v>19</v>
      </c>
      <c r="I59" s="162"/>
      <c r="J59" s="162"/>
      <c r="K59" s="163"/>
      <c r="L59" s="50"/>
      <c r="M59" s="51"/>
      <c r="N59" s="13"/>
      <c r="O59" s="161" t="s">
        <v>12</v>
      </c>
      <c r="P59" s="162"/>
      <c r="Q59" s="162"/>
      <c r="R59" s="163"/>
      <c r="S59" s="50"/>
      <c r="T59" s="51"/>
    </row>
    <row r="60" spans="1:20" hidden="1" x14ac:dyDescent="0.2">
      <c r="A60" s="161" t="s">
        <v>81</v>
      </c>
      <c r="B60" s="162"/>
      <c r="C60" s="162"/>
      <c r="D60" s="163"/>
      <c r="E60" s="50"/>
      <c r="F60" s="51"/>
      <c r="G60" s="14"/>
      <c r="H60" s="161" t="s">
        <v>78</v>
      </c>
      <c r="I60" s="162"/>
      <c r="J60" s="162"/>
      <c r="K60" s="163"/>
      <c r="L60" s="50"/>
      <c r="M60" s="51"/>
      <c r="N60" s="13"/>
      <c r="O60" s="161" t="s">
        <v>13</v>
      </c>
      <c r="P60" s="162"/>
      <c r="Q60" s="162"/>
      <c r="R60" s="163"/>
      <c r="S60" s="50"/>
      <c r="T60" s="51"/>
    </row>
    <row r="61" spans="1:20" hidden="1" x14ac:dyDescent="0.2">
      <c r="A61" s="161" t="s">
        <v>80</v>
      </c>
      <c r="B61" s="162"/>
      <c r="C61" s="162"/>
      <c r="D61" s="163"/>
      <c r="E61" s="50"/>
      <c r="F61" s="51"/>
      <c r="G61" s="14"/>
      <c r="H61" s="161" t="s">
        <v>18</v>
      </c>
      <c r="I61" s="162"/>
      <c r="J61" s="162"/>
      <c r="K61" s="163"/>
      <c r="L61" s="50"/>
      <c r="M61" s="51"/>
      <c r="N61" s="13"/>
      <c r="O61" s="161" t="s">
        <v>21</v>
      </c>
      <c r="P61" s="162"/>
      <c r="Q61" s="162"/>
      <c r="R61" s="163"/>
      <c r="S61" s="50"/>
      <c r="T61" s="51"/>
    </row>
    <row r="62" spans="1:20" hidden="1" x14ac:dyDescent="0.2">
      <c r="A62" s="161" t="s">
        <v>79</v>
      </c>
      <c r="B62" s="162"/>
      <c r="C62" s="162"/>
      <c r="D62" s="163"/>
      <c r="E62" s="50"/>
      <c r="F62" s="51"/>
      <c r="G62" s="14"/>
      <c r="H62" s="161" t="s">
        <v>16</v>
      </c>
      <c r="I62" s="162"/>
      <c r="J62" s="162"/>
      <c r="K62" s="163"/>
      <c r="L62" s="50"/>
      <c r="M62" s="51"/>
      <c r="N62" s="13"/>
      <c r="O62" s="161" t="s">
        <v>14</v>
      </c>
      <c r="P62" s="162"/>
      <c r="Q62" s="162"/>
      <c r="R62" s="163"/>
      <c r="S62" s="50"/>
      <c r="T62" s="51"/>
    </row>
    <row r="63" spans="1:20" ht="13.5" hidden="1" thickBot="1" x14ac:dyDescent="0.25">
      <c r="A63" s="166" t="s">
        <v>82</v>
      </c>
      <c r="B63" s="167"/>
      <c r="C63" s="167"/>
      <c r="D63" s="168"/>
      <c r="E63" s="52"/>
      <c r="F63" s="53"/>
      <c r="G63" s="15"/>
      <c r="H63" s="166" t="s">
        <v>20</v>
      </c>
      <c r="I63" s="167"/>
      <c r="J63" s="167"/>
      <c r="K63" s="168"/>
      <c r="L63" s="52"/>
      <c r="M63" s="53"/>
      <c r="N63" s="15"/>
      <c r="O63" s="166" t="s">
        <v>22</v>
      </c>
      <c r="P63" s="167"/>
      <c r="Q63" s="167"/>
      <c r="R63" s="168"/>
      <c r="S63" s="52"/>
      <c r="T63" s="53"/>
    </row>
    <row r="64" spans="1:20" ht="15" hidden="1" customHeight="1" x14ac:dyDescent="0.2">
      <c r="A64" s="205" t="s">
        <v>224</v>
      </c>
      <c r="B64" s="206"/>
      <c r="C64" s="206"/>
      <c r="D64" s="206"/>
      <c r="E64" s="206"/>
      <c r="F64" s="206"/>
      <c r="G64" s="206"/>
      <c r="H64" s="206"/>
      <c r="I64" s="206"/>
      <c r="J64" s="206"/>
      <c r="K64" s="206"/>
      <c r="L64" s="206"/>
      <c r="M64" s="206"/>
      <c r="N64" s="206"/>
      <c r="O64" s="206"/>
      <c r="P64" s="206"/>
      <c r="Q64" s="206"/>
      <c r="R64" s="206"/>
      <c r="S64" s="206"/>
      <c r="T64" s="207"/>
    </row>
    <row r="65" spans="1:21" ht="15.75" hidden="1" customHeight="1" thickBot="1" x14ac:dyDescent="0.25">
      <c r="A65" s="208"/>
      <c r="B65" s="209"/>
      <c r="C65" s="209"/>
      <c r="D65" s="209"/>
      <c r="E65" s="209"/>
      <c r="F65" s="209"/>
      <c r="G65" s="209"/>
      <c r="H65" s="209"/>
      <c r="I65" s="209"/>
      <c r="J65" s="209"/>
      <c r="K65" s="209"/>
      <c r="L65" s="209"/>
      <c r="M65" s="209"/>
      <c r="N65" s="209"/>
      <c r="O65" s="209"/>
      <c r="P65" s="209"/>
      <c r="Q65" s="209"/>
      <c r="R65" s="209"/>
      <c r="S65" s="209"/>
      <c r="T65" s="210"/>
    </row>
    <row r="66" spans="1:21" ht="13.5" hidden="1" customHeight="1" thickBot="1" x14ac:dyDescent="0.25">
      <c r="A66" s="211" t="s">
        <v>225</v>
      </c>
      <c r="B66" s="212"/>
      <c r="C66" s="212"/>
      <c r="D66" s="212"/>
      <c r="E66" s="213"/>
      <c r="F66" s="198" t="s">
        <v>63</v>
      </c>
      <c r="G66" s="199"/>
      <c r="H66" s="199"/>
      <c r="I66" s="199"/>
      <c r="J66" s="200"/>
      <c r="K66" s="198" t="s">
        <v>8</v>
      </c>
      <c r="L66" s="199"/>
      <c r="M66" s="199"/>
      <c r="N66" s="199"/>
      <c r="O66" s="200"/>
      <c r="P66" s="198" t="s">
        <v>9</v>
      </c>
      <c r="Q66" s="199"/>
      <c r="R66" s="199"/>
      <c r="S66" s="199"/>
      <c r="T66" s="200"/>
    </row>
    <row r="67" spans="1:21" hidden="1" x14ac:dyDescent="0.2">
      <c r="A67" s="201"/>
      <c r="B67" s="186"/>
      <c r="C67" s="186"/>
      <c r="D67" s="186"/>
      <c r="E67" s="187"/>
      <c r="F67" s="148" t="s">
        <v>70</v>
      </c>
      <c r="G67" s="149"/>
      <c r="H67" s="186"/>
      <c r="I67" s="186"/>
      <c r="J67" s="187"/>
      <c r="K67" s="148" t="s">
        <v>70</v>
      </c>
      <c r="L67" s="149"/>
      <c r="M67" s="186"/>
      <c r="N67" s="186"/>
      <c r="O67" s="187"/>
      <c r="P67" s="148" t="s">
        <v>72</v>
      </c>
      <c r="Q67" s="149"/>
      <c r="R67" s="192" t="s">
        <v>286</v>
      </c>
      <c r="S67" s="192"/>
      <c r="T67" s="193"/>
    </row>
    <row r="68" spans="1:21" ht="13.5" hidden="1" thickBot="1" x14ac:dyDescent="0.25">
      <c r="A68" s="202"/>
      <c r="B68" s="203"/>
      <c r="C68" s="203"/>
      <c r="D68" s="203"/>
      <c r="E68" s="204"/>
      <c r="F68" s="190" t="s">
        <v>71</v>
      </c>
      <c r="G68" s="191"/>
      <c r="H68" s="188"/>
      <c r="I68" s="188"/>
      <c r="J68" s="189"/>
      <c r="K68" s="190" t="s">
        <v>71</v>
      </c>
      <c r="L68" s="191"/>
      <c r="M68" s="188"/>
      <c r="N68" s="188"/>
      <c r="O68" s="189"/>
      <c r="P68" s="190" t="s">
        <v>73</v>
      </c>
      <c r="Q68" s="191"/>
      <c r="R68" s="194" t="s">
        <v>286</v>
      </c>
      <c r="S68" s="194"/>
      <c r="T68" s="195"/>
    </row>
    <row r="69" spans="1:21" ht="15.75" hidden="1" customHeight="1" thickBot="1" x14ac:dyDescent="0.25">
      <c r="A69" s="174" t="s">
        <v>66</v>
      </c>
      <c r="B69" s="175"/>
      <c r="C69" s="175"/>
      <c r="D69" s="176"/>
      <c r="E69" s="177"/>
      <c r="F69" s="178"/>
      <c r="G69" s="179"/>
      <c r="H69" s="170" t="s">
        <v>67</v>
      </c>
      <c r="I69" s="171"/>
      <c r="J69" s="171"/>
      <c r="K69" s="171"/>
      <c r="L69" s="171"/>
      <c r="M69" s="171"/>
      <c r="N69" s="172"/>
      <c r="O69" s="158" t="s">
        <v>68</v>
      </c>
      <c r="P69" s="159"/>
      <c r="Q69" s="159"/>
      <c r="R69" s="159"/>
      <c r="S69" s="159"/>
      <c r="T69" s="160"/>
    </row>
    <row r="70" spans="1:21" ht="15.75" hidden="1" customHeight="1" thickBot="1" x14ac:dyDescent="0.25">
      <c r="A70" s="174" t="s">
        <v>65</v>
      </c>
      <c r="B70" s="175"/>
      <c r="C70" s="175"/>
      <c r="D70" s="176"/>
      <c r="E70" s="177"/>
      <c r="F70" s="178"/>
      <c r="G70" s="179"/>
      <c r="H70" s="180"/>
      <c r="I70" s="181"/>
      <c r="J70" s="181"/>
      <c r="K70" s="181"/>
      <c r="L70" s="181"/>
      <c r="M70" s="181"/>
      <c r="N70" s="182"/>
      <c r="O70" s="155"/>
      <c r="P70" s="156"/>
      <c r="Q70" s="156"/>
      <c r="R70" s="156"/>
      <c r="S70" s="156"/>
      <c r="T70" s="157"/>
    </row>
    <row r="71" spans="1:21" ht="5.0999999999999996" hidden="1" customHeight="1" thickBot="1" x14ac:dyDescent="0.25">
      <c r="A71" s="28"/>
      <c r="B71" s="29"/>
      <c r="C71" s="29"/>
      <c r="D71" s="29"/>
      <c r="E71" s="29"/>
      <c r="F71" s="29"/>
      <c r="G71" s="29"/>
      <c r="H71" s="29"/>
      <c r="I71" s="29"/>
      <c r="J71" s="29"/>
      <c r="K71" s="29"/>
      <c r="L71" s="29"/>
      <c r="M71" s="29"/>
      <c r="N71" s="29"/>
      <c r="O71" s="29"/>
      <c r="P71" s="29"/>
      <c r="Q71" s="29"/>
      <c r="R71" s="29"/>
      <c r="S71" s="29"/>
      <c r="T71" s="30"/>
    </row>
    <row r="72" spans="1:21" ht="13.5" hidden="1" thickBot="1" x14ac:dyDescent="0.25">
      <c r="A72" s="170" t="s">
        <v>76</v>
      </c>
      <c r="B72" s="171"/>
      <c r="C72" s="171"/>
      <c r="D72" s="172"/>
      <c r="E72" s="47" t="s">
        <v>74</v>
      </c>
      <c r="F72" s="47" t="s">
        <v>75</v>
      </c>
      <c r="G72" s="13"/>
      <c r="H72" s="170" t="s">
        <v>76</v>
      </c>
      <c r="I72" s="171"/>
      <c r="J72" s="171"/>
      <c r="K72" s="172"/>
      <c r="L72" s="47" t="s">
        <v>74</v>
      </c>
      <c r="M72" s="47" t="s">
        <v>75</v>
      </c>
      <c r="N72" s="13"/>
      <c r="O72" s="170" t="s">
        <v>76</v>
      </c>
      <c r="P72" s="171"/>
      <c r="Q72" s="171"/>
      <c r="R72" s="172"/>
      <c r="S72" s="47" t="s">
        <v>74</v>
      </c>
      <c r="T72" s="47" t="s">
        <v>75</v>
      </c>
    </row>
    <row r="73" spans="1:21" hidden="1" x14ac:dyDescent="0.2">
      <c r="A73" s="148" t="s">
        <v>15</v>
      </c>
      <c r="B73" s="149"/>
      <c r="C73" s="149"/>
      <c r="D73" s="173"/>
      <c r="E73" s="48"/>
      <c r="F73" s="49"/>
      <c r="G73" s="14"/>
      <c r="H73" s="148" t="s">
        <v>11</v>
      </c>
      <c r="I73" s="149"/>
      <c r="J73" s="149"/>
      <c r="K73" s="173"/>
      <c r="L73" s="48"/>
      <c r="M73" s="49"/>
      <c r="N73" s="14"/>
      <c r="O73" s="183" t="s">
        <v>13</v>
      </c>
      <c r="P73" s="184"/>
      <c r="Q73" s="184"/>
      <c r="R73" s="184"/>
      <c r="S73" s="48"/>
      <c r="T73" s="49"/>
    </row>
    <row r="74" spans="1:21" hidden="1" x14ac:dyDescent="0.2">
      <c r="A74" s="161" t="s">
        <v>77</v>
      </c>
      <c r="B74" s="162"/>
      <c r="C74" s="162"/>
      <c r="D74" s="163"/>
      <c r="E74" s="50"/>
      <c r="F74" s="51"/>
      <c r="G74" s="14"/>
      <c r="H74" s="161" t="s">
        <v>19</v>
      </c>
      <c r="I74" s="162"/>
      <c r="J74" s="162"/>
      <c r="K74" s="163"/>
      <c r="L74" s="50"/>
      <c r="M74" s="51"/>
      <c r="N74" s="14"/>
      <c r="O74" s="161" t="s">
        <v>21</v>
      </c>
      <c r="P74" s="162"/>
      <c r="Q74" s="162"/>
      <c r="R74" s="163"/>
      <c r="S74" s="50"/>
      <c r="T74" s="51"/>
    </row>
    <row r="75" spans="1:21" ht="13.5" hidden="1" thickBot="1" x14ac:dyDescent="0.25">
      <c r="A75" s="161" t="s">
        <v>79</v>
      </c>
      <c r="B75" s="162"/>
      <c r="C75" s="162"/>
      <c r="D75" s="163"/>
      <c r="E75" s="50"/>
      <c r="F75" s="51"/>
      <c r="G75" s="14"/>
      <c r="H75" s="164" t="s">
        <v>78</v>
      </c>
      <c r="I75" s="165"/>
      <c r="J75" s="165"/>
      <c r="K75" s="165"/>
      <c r="L75" s="50"/>
      <c r="M75" s="51"/>
      <c r="N75" s="14"/>
      <c r="O75" s="166" t="s">
        <v>14</v>
      </c>
      <c r="P75" s="167"/>
      <c r="Q75" s="167"/>
      <c r="R75" s="168"/>
      <c r="S75" s="52"/>
      <c r="T75" s="53"/>
    </row>
    <row r="76" spans="1:21" ht="13.5" hidden="1" thickBot="1" x14ac:dyDescent="0.25">
      <c r="A76" s="166" t="s">
        <v>82</v>
      </c>
      <c r="B76" s="167"/>
      <c r="C76" s="167"/>
      <c r="D76" s="168"/>
      <c r="E76" s="52"/>
      <c r="F76" s="53"/>
      <c r="G76" s="15"/>
      <c r="H76" s="141" t="s">
        <v>17</v>
      </c>
      <c r="I76" s="169"/>
      <c r="J76" s="169"/>
      <c r="K76" s="169"/>
      <c r="L76" s="52"/>
      <c r="M76" s="53"/>
      <c r="N76" s="15"/>
      <c r="O76" s="185"/>
      <c r="P76" s="185"/>
      <c r="Q76" s="185"/>
      <c r="R76" s="185"/>
      <c r="S76" s="45"/>
      <c r="T76" s="46"/>
      <c r="U76" s="39"/>
    </row>
    <row r="77" spans="1:21" x14ac:dyDescent="0.2">
      <c r="A77" s="38"/>
      <c r="B77" s="38"/>
      <c r="C77" s="38"/>
      <c r="D77" s="38"/>
      <c r="E77" s="39"/>
      <c r="F77" s="39"/>
      <c r="G77" s="39"/>
      <c r="H77" s="40"/>
      <c r="I77" s="40"/>
      <c r="J77" s="40"/>
      <c r="K77" s="40"/>
      <c r="L77" s="39"/>
      <c r="M77" s="39"/>
      <c r="N77" s="39"/>
      <c r="O77" s="41"/>
      <c r="P77" s="41"/>
      <c r="Q77" s="41"/>
      <c r="R77" s="41"/>
      <c r="S77" s="39"/>
      <c r="T77" s="39"/>
    </row>
    <row r="78" spans="1:21" x14ac:dyDescent="0.2">
      <c r="A78" s="38"/>
      <c r="B78" s="38"/>
      <c r="C78" s="38"/>
      <c r="D78" s="38"/>
      <c r="E78" s="39"/>
      <c r="F78" s="39"/>
      <c r="G78" s="39"/>
      <c r="H78" s="40"/>
      <c r="I78" s="40"/>
      <c r="J78" s="40"/>
      <c r="K78" s="40"/>
      <c r="L78" s="39"/>
      <c r="M78" s="39"/>
      <c r="N78" s="39"/>
      <c r="O78" s="41"/>
      <c r="P78" s="41"/>
      <c r="Q78" s="41"/>
      <c r="R78" s="41"/>
      <c r="S78" s="39"/>
      <c r="T78" s="39"/>
    </row>
    <row r="79" spans="1:21" x14ac:dyDescent="0.2">
      <c r="A79" s="38"/>
      <c r="B79" s="38"/>
      <c r="C79" s="38"/>
      <c r="D79" s="38"/>
      <c r="E79" s="39"/>
      <c r="F79" s="39"/>
      <c r="G79" s="39"/>
      <c r="H79" s="40"/>
      <c r="I79" s="40"/>
      <c r="J79" s="40"/>
      <c r="K79" s="40"/>
      <c r="L79" s="39"/>
      <c r="M79" s="39"/>
      <c r="N79" s="39"/>
      <c r="O79" s="41"/>
      <c r="P79" s="41"/>
      <c r="Q79" s="41"/>
      <c r="R79" s="41"/>
      <c r="S79" s="39"/>
      <c r="T79" s="39"/>
    </row>
    <row r="80" spans="1:21" x14ac:dyDescent="0.2">
      <c r="A80" s="38"/>
      <c r="B80" s="38"/>
      <c r="C80" s="38"/>
      <c r="D80" s="38"/>
      <c r="E80" s="39"/>
      <c r="F80" s="39"/>
      <c r="G80" s="39"/>
      <c r="H80" s="40"/>
      <c r="I80" s="40"/>
      <c r="J80" s="40"/>
      <c r="K80" s="40"/>
      <c r="L80" s="39"/>
      <c r="M80" s="39"/>
      <c r="N80" s="39"/>
      <c r="O80" s="41"/>
      <c r="P80" s="41"/>
      <c r="Q80" s="41"/>
      <c r="R80" s="41"/>
      <c r="S80" s="39"/>
      <c r="T80" s="39"/>
    </row>
    <row r="81" spans="1:26" hidden="1" x14ac:dyDescent="0.2">
      <c r="A81" s="38"/>
      <c r="B81" s="38"/>
      <c r="C81" s="38"/>
      <c r="D81" s="38"/>
      <c r="E81" s="39"/>
      <c r="F81" s="39"/>
      <c r="G81" s="39"/>
      <c r="H81" s="40"/>
      <c r="I81" s="40"/>
      <c r="J81" s="40"/>
      <c r="K81" s="40"/>
      <c r="L81" s="39"/>
      <c r="M81" s="39"/>
      <c r="N81" s="39"/>
      <c r="O81" s="41"/>
      <c r="P81" s="41"/>
      <c r="Q81" s="41"/>
      <c r="R81" s="41"/>
      <c r="S81" s="39"/>
      <c r="T81" s="39"/>
    </row>
    <row r="82" spans="1:26" hidden="1" x14ac:dyDescent="0.2">
      <c r="A82" s="38"/>
      <c r="B82" s="38"/>
      <c r="C82" s="38"/>
      <c r="D82" s="38"/>
      <c r="E82" s="39"/>
      <c r="F82" s="39"/>
      <c r="G82" s="39"/>
      <c r="H82" s="40"/>
      <c r="I82" s="40"/>
      <c r="J82" s="40"/>
      <c r="K82" s="40"/>
      <c r="L82" s="39"/>
      <c r="M82" s="39"/>
      <c r="N82" s="39"/>
      <c r="O82" s="41"/>
      <c r="P82" s="41"/>
      <c r="Q82" s="41"/>
      <c r="R82" s="41"/>
      <c r="S82" s="39"/>
      <c r="T82" s="39"/>
    </row>
    <row r="83" spans="1:26" hidden="1" x14ac:dyDescent="0.2">
      <c r="A83" s="38"/>
      <c r="B83" s="38"/>
      <c r="C83" s="38"/>
      <c r="D83" s="38"/>
      <c r="E83" s="39"/>
      <c r="F83" s="39"/>
      <c r="G83" s="39"/>
      <c r="H83" s="40"/>
      <c r="I83" s="40"/>
      <c r="J83" s="40"/>
      <c r="K83" s="40"/>
      <c r="L83" s="39"/>
      <c r="M83" s="39"/>
      <c r="N83" s="39"/>
      <c r="O83" s="41"/>
      <c r="P83" s="41"/>
      <c r="Q83" s="41"/>
      <c r="R83" s="41"/>
      <c r="S83" s="39"/>
      <c r="T83" s="39"/>
    </row>
    <row r="84" spans="1:26" x14ac:dyDescent="0.2">
      <c r="A84" s="42"/>
      <c r="B84" s="42"/>
      <c r="C84" s="42"/>
      <c r="D84" s="42"/>
      <c r="E84" s="42"/>
      <c r="F84" s="42"/>
      <c r="G84" s="42"/>
      <c r="H84" s="42"/>
      <c r="I84" s="42"/>
      <c r="J84" s="42"/>
      <c r="K84" s="42"/>
      <c r="L84" s="42"/>
      <c r="M84" s="42"/>
      <c r="N84" s="42"/>
      <c r="O84" s="42"/>
      <c r="P84" s="42"/>
      <c r="Q84" s="42"/>
      <c r="R84" s="42"/>
      <c r="S84" s="42"/>
      <c r="T84" s="42"/>
    </row>
    <row r="85" spans="1:26" ht="13.5" hidden="1" customHeight="1" thickBot="1" x14ac:dyDescent="0.25">
      <c r="A85" s="129" t="s">
        <v>23</v>
      </c>
      <c r="B85" s="130"/>
      <c r="C85" s="130"/>
      <c r="D85" s="131"/>
      <c r="E85" s="129" t="s">
        <v>283</v>
      </c>
      <c r="F85" s="130"/>
      <c r="G85" s="130"/>
      <c r="H85" s="131"/>
      <c r="I85" s="129" t="s">
        <v>24</v>
      </c>
      <c r="J85" s="130"/>
      <c r="K85" s="130"/>
      <c r="L85" s="130"/>
      <c r="M85" s="130"/>
      <c r="N85" s="131"/>
      <c r="O85" s="129" t="s">
        <v>25</v>
      </c>
      <c r="P85" s="130"/>
      <c r="Q85" s="131"/>
      <c r="R85" s="129" t="s">
        <v>284</v>
      </c>
      <c r="S85" s="130"/>
      <c r="T85" s="131"/>
      <c r="V85" s="324" t="s">
        <v>312</v>
      </c>
      <c r="W85" s="325"/>
      <c r="X85" s="325"/>
      <c r="Y85" s="325"/>
      <c r="Z85" s="326"/>
    </row>
    <row r="86" spans="1:26" ht="15.95" hidden="1" customHeight="1" x14ac:dyDescent="0.2">
      <c r="A86" s="148" t="s">
        <v>27</v>
      </c>
      <c r="B86" s="149"/>
      <c r="C86" s="149"/>
      <c r="D86" s="149"/>
      <c r="E86" s="152"/>
      <c r="F86" s="153"/>
      <c r="G86" s="153"/>
      <c r="H86" s="154"/>
      <c r="I86" s="150"/>
      <c r="J86" s="150"/>
      <c r="K86" s="150"/>
      <c r="L86" s="150"/>
      <c r="M86" s="150"/>
      <c r="N86" s="150"/>
      <c r="O86" s="151"/>
      <c r="P86" s="150"/>
      <c r="Q86" s="150"/>
      <c r="R86" s="134"/>
      <c r="S86" s="134"/>
      <c r="T86" s="135"/>
      <c r="V86" s="327"/>
      <c r="W86" s="328"/>
      <c r="X86" s="328"/>
      <c r="Y86" s="328"/>
      <c r="Z86" s="329"/>
    </row>
    <row r="87" spans="1:26" ht="15.95" hidden="1" customHeight="1" thickBot="1" x14ac:dyDescent="0.25">
      <c r="A87" s="141" t="s">
        <v>279</v>
      </c>
      <c r="B87" s="142"/>
      <c r="C87" s="139"/>
      <c r="D87" s="139"/>
      <c r="E87" s="139"/>
      <c r="F87" s="139"/>
      <c r="G87" s="139"/>
      <c r="H87" s="139"/>
      <c r="I87" s="139"/>
      <c r="J87" s="139"/>
      <c r="K87" s="139"/>
      <c r="L87" s="139"/>
      <c r="M87" s="139"/>
      <c r="N87" s="139"/>
      <c r="O87" s="139"/>
      <c r="P87" s="139"/>
      <c r="Q87" s="139"/>
      <c r="R87" s="139"/>
      <c r="S87" s="139"/>
      <c r="T87" s="140"/>
      <c r="V87" s="330"/>
      <c r="W87" s="331"/>
      <c r="X87" s="331"/>
      <c r="Y87" s="331"/>
      <c r="Z87" s="332"/>
    </row>
    <row r="88" spans="1:26" ht="15.95" hidden="1" customHeight="1" x14ac:dyDescent="0.2">
      <c r="A88" s="148" t="s">
        <v>29</v>
      </c>
      <c r="B88" s="149"/>
      <c r="C88" s="149"/>
      <c r="D88" s="149"/>
      <c r="E88" s="152"/>
      <c r="F88" s="153"/>
      <c r="G88" s="153"/>
      <c r="H88" s="154"/>
      <c r="I88" s="150"/>
      <c r="J88" s="150"/>
      <c r="K88" s="150"/>
      <c r="L88" s="150"/>
      <c r="M88" s="150"/>
      <c r="N88" s="150"/>
      <c r="O88" s="151"/>
      <c r="P88" s="150"/>
      <c r="Q88" s="150"/>
      <c r="R88" s="134"/>
      <c r="S88" s="134"/>
      <c r="T88" s="135"/>
      <c r="V88" s="333" t="s">
        <v>291</v>
      </c>
      <c r="W88" s="334"/>
      <c r="X88" s="334"/>
      <c r="Y88" s="334"/>
      <c r="Z88" s="335"/>
    </row>
    <row r="89" spans="1:26" ht="15.95" hidden="1" customHeight="1" thickBot="1" x14ac:dyDescent="0.25">
      <c r="A89" s="141" t="s">
        <v>279</v>
      </c>
      <c r="B89" s="142"/>
      <c r="C89" s="139"/>
      <c r="D89" s="139"/>
      <c r="E89" s="139"/>
      <c r="F89" s="139"/>
      <c r="G89" s="139"/>
      <c r="H89" s="139"/>
      <c r="I89" s="139"/>
      <c r="J89" s="139"/>
      <c r="K89" s="139"/>
      <c r="L89" s="139"/>
      <c r="M89" s="139"/>
      <c r="N89" s="139"/>
      <c r="O89" s="139"/>
      <c r="P89" s="139"/>
      <c r="Q89" s="139"/>
      <c r="R89" s="139"/>
      <c r="S89" s="139"/>
      <c r="T89" s="140"/>
      <c r="V89" s="336"/>
      <c r="W89" s="337"/>
      <c r="X89" s="337"/>
      <c r="Y89" s="337"/>
      <c r="Z89" s="338"/>
    </row>
    <row r="90" spans="1:26" ht="15.95" hidden="1" customHeight="1" x14ac:dyDescent="0.2">
      <c r="A90" s="148" t="s">
        <v>32</v>
      </c>
      <c r="B90" s="149"/>
      <c r="C90" s="149"/>
      <c r="D90" s="149"/>
      <c r="E90" s="152"/>
      <c r="F90" s="153"/>
      <c r="G90" s="153"/>
      <c r="H90" s="154"/>
      <c r="I90" s="150"/>
      <c r="J90" s="150"/>
      <c r="K90" s="150"/>
      <c r="L90" s="150"/>
      <c r="M90" s="150"/>
      <c r="N90" s="150"/>
      <c r="O90" s="151"/>
      <c r="P90" s="150"/>
      <c r="Q90" s="150"/>
      <c r="R90" s="134"/>
      <c r="S90" s="134"/>
      <c r="T90" s="135"/>
    </row>
    <row r="91" spans="1:26" ht="15.95" hidden="1" customHeight="1" thickBot="1" x14ac:dyDescent="0.25">
      <c r="A91" s="141" t="s">
        <v>279</v>
      </c>
      <c r="B91" s="142"/>
      <c r="C91" s="139"/>
      <c r="D91" s="139"/>
      <c r="E91" s="139"/>
      <c r="F91" s="139"/>
      <c r="G91" s="139"/>
      <c r="H91" s="139"/>
      <c r="I91" s="139"/>
      <c r="J91" s="139"/>
      <c r="K91" s="139"/>
      <c r="L91" s="139"/>
      <c r="M91" s="139"/>
      <c r="N91" s="139"/>
      <c r="O91" s="139"/>
      <c r="P91" s="139"/>
      <c r="Q91" s="139"/>
      <c r="R91" s="139"/>
      <c r="S91" s="139"/>
      <c r="T91" s="140"/>
    </row>
    <row r="92" spans="1:26" ht="15.95" hidden="1" customHeight="1" x14ac:dyDescent="0.2">
      <c r="A92" s="148" t="s">
        <v>33</v>
      </c>
      <c r="B92" s="149"/>
      <c r="C92" s="149"/>
      <c r="D92" s="149"/>
      <c r="E92" s="152"/>
      <c r="F92" s="153"/>
      <c r="G92" s="153"/>
      <c r="H92" s="154"/>
      <c r="I92" s="150"/>
      <c r="J92" s="150"/>
      <c r="K92" s="150"/>
      <c r="L92" s="150"/>
      <c r="M92" s="150"/>
      <c r="N92" s="150"/>
      <c r="O92" s="151"/>
      <c r="P92" s="150"/>
      <c r="Q92" s="150"/>
      <c r="R92" s="134"/>
      <c r="S92" s="134"/>
      <c r="T92" s="135"/>
    </row>
    <row r="93" spans="1:26" ht="15.95" hidden="1" customHeight="1" thickBot="1" x14ac:dyDescent="0.25">
      <c r="A93" s="141" t="s">
        <v>279</v>
      </c>
      <c r="B93" s="142"/>
      <c r="C93" s="139"/>
      <c r="D93" s="139"/>
      <c r="E93" s="139"/>
      <c r="F93" s="139"/>
      <c r="G93" s="139"/>
      <c r="H93" s="139"/>
      <c r="I93" s="139"/>
      <c r="J93" s="139"/>
      <c r="K93" s="139"/>
      <c r="L93" s="139"/>
      <c r="M93" s="139"/>
      <c r="N93" s="139"/>
      <c r="O93" s="139"/>
      <c r="P93" s="139"/>
      <c r="Q93" s="139"/>
      <c r="R93" s="139"/>
      <c r="S93" s="139"/>
      <c r="T93" s="140"/>
      <c r="V93" s="55"/>
      <c r="W93" s="55"/>
      <c r="X93" s="55"/>
      <c r="Y93" s="55"/>
      <c r="Z93" s="55"/>
    </row>
    <row r="94" spans="1:26" ht="15.75" hidden="1" customHeight="1" thickBot="1" x14ac:dyDescent="0.25">
      <c r="A94" s="136" t="s">
        <v>34</v>
      </c>
      <c r="B94" s="137"/>
      <c r="C94" s="137"/>
      <c r="D94" s="137"/>
      <c r="E94" s="137"/>
      <c r="F94" s="137"/>
      <c r="G94" s="137"/>
      <c r="H94" s="137"/>
      <c r="I94" s="137"/>
      <c r="J94" s="137"/>
      <c r="K94" s="137"/>
      <c r="L94" s="137"/>
      <c r="M94" s="137"/>
      <c r="N94" s="137"/>
      <c r="O94" s="137"/>
      <c r="P94" s="137"/>
      <c r="Q94" s="137"/>
      <c r="R94" s="137"/>
      <c r="S94" s="137"/>
      <c r="T94" s="138"/>
    </row>
    <row r="95" spans="1:26" ht="15.95" hidden="1" customHeight="1" thickBot="1" x14ac:dyDescent="0.25">
      <c r="A95" s="143" t="s">
        <v>35</v>
      </c>
      <c r="B95" s="144"/>
      <c r="C95" s="144"/>
      <c r="D95" s="145"/>
      <c r="E95" s="126"/>
      <c r="F95" s="127"/>
      <c r="G95" s="127"/>
      <c r="H95" s="128"/>
      <c r="I95" s="146"/>
      <c r="J95" s="146"/>
      <c r="K95" s="146"/>
      <c r="L95" s="146"/>
      <c r="M95" s="146"/>
      <c r="N95" s="146"/>
      <c r="O95" s="147"/>
      <c r="P95" s="146"/>
      <c r="Q95" s="146"/>
      <c r="R95" s="132"/>
      <c r="S95" s="132"/>
      <c r="T95" s="133"/>
    </row>
  </sheetData>
  <sheetProtection algorithmName="SHA-512" hashValue="+uFnDX48Nb/eF++Fn+PocMkDmQKJh5h4HfIUL3bfVF5wEyx10Dz2c2kaXG4jLyLVSqaj7SI03vkP6IGPoQeiBw==" saltValue="cF5Yuc7Nz+dzgmxDxKSs/g==" spinCount="100000" sheet="1" objects="1" scenarios="1" selectLockedCells="1" sort="0" autoFilter="0"/>
  <protectedRanges>
    <protectedRange sqref="M4:R4 O7:P7 A4:I4 O5:P5 M6:R6 A8:G8 B6:E6 G6:I6 A11:D11 F11:K11 A10:K10 K9 A9:I9" name="Range1"/>
  </protectedRanges>
  <dataConsolidate/>
  <mergeCells count="217">
    <mergeCell ref="E47:J47"/>
    <mergeCell ref="V85:Z87"/>
    <mergeCell ref="V88:Z89"/>
    <mergeCell ref="P8:R8"/>
    <mergeCell ref="P7:R7"/>
    <mergeCell ref="L8:N8"/>
    <mergeCell ref="L7:N7"/>
    <mergeCell ref="O63:R63"/>
    <mergeCell ref="O62:R62"/>
    <mergeCell ref="K51:O51"/>
    <mergeCell ref="A49:T50"/>
    <mergeCell ref="K10:M11"/>
    <mergeCell ref="N10:N11"/>
    <mergeCell ref="H63:K63"/>
    <mergeCell ref="H62:K62"/>
    <mergeCell ref="A63:D63"/>
    <mergeCell ref="A62:D62"/>
    <mergeCell ref="H57:K57"/>
    <mergeCell ref="A61:D61"/>
    <mergeCell ref="A60:D60"/>
    <mergeCell ref="A59:D59"/>
    <mergeCell ref="A58:D58"/>
    <mergeCell ref="A57:D57"/>
    <mergeCell ref="O61:R61"/>
    <mergeCell ref="O60:R60"/>
    <mergeCell ref="C1:R2"/>
    <mergeCell ref="S1:T2"/>
    <mergeCell ref="R52:T52"/>
    <mergeCell ref="H52:J52"/>
    <mergeCell ref="H53:J53"/>
    <mergeCell ref="M53:O53"/>
    <mergeCell ref="M52:O52"/>
    <mergeCell ref="P53:Q53"/>
    <mergeCell ref="A51:E51"/>
    <mergeCell ref="P52:Q52"/>
    <mergeCell ref="K53:L53"/>
    <mergeCell ref="K52:L52"/>
    <mergeCell ref="F53:G53"/>
    <mergeCell ref="F52:G52"/>
    <mergeCell ref="P51:T51"/>
    <mergeCell ref="C41:D41"/>
    <mergeCell ref="E41:J41"/>
    <mergeCell ref="M41:O41"/>
    <mergeCell ref="J3:K3"/>
    <mergeCell ref="M47:O47"/>
    <mergeCell ref="C47:D47"/>
    <mergeCell ref="H3:I3"/>
    <mergeCell ref="A3:E3"/>
    <mergeCell ref="L3:M3"/>
    <mergeCell ref="F3:G3"/>
    <mergeCell ref="F4:G5"/>
    <mergeCell ref="O6:R6"/>
    <mergeCell ref="S6:T6"/>
    <mergeCell ref="A6:F6"/>
    <mergeCell ref="G6:J6"/>
    <mergeCell ref="K6:N6"/>
    <mergeCell ref="L4:M5"/>
    <mergeCell ref="J4:K5"/>
    <mergeCell ref="H4:I5"/>
    <mergeCell ref="A4:E5"/>
    <mergeCell ref="N3:P3"/>
    <mergeCell ref="Q3:T3"/>
    <mergeCell ref="Q4:T5"/>
    <mergeCell ref="N4:P5"/>
    <mergeCell ref="A7:F7"/>
    <mergeCell ref="G7:J8"/>
    <mergeCell ref="S7:T8"/>
    <mergeCell ref="A8:F8"/>
    <mergeCell ref="D10:G11"/>
    <mergeCell ref="A10:C11"/>
    <mergeCell ref="K9:N9"/>
    <mergeCell ref="H9:J9"/>
    <mergeCell ref="D9:G9"/>
    <mergeCell ref="A9:C9"/>
    <mergeCell ref="H10:J11"/>
    <mergeCell ref="O9:T9"/>
    <mergeCell ref="A12:T13"/>
    <mergeCell ref="Q10:T11"/>
    <mergeCell ref="O10:P11"/>
    <mergeCell ref="B17:K17"/>
    <mergeCell ref="B16:K16"/>
    <mergeCell ref="L23:T23"/>
    <mergeCell ref="A18:A19"/>
    <mergeCell ref="L22:S22"/>
    <mergeCell ref="L20:S20"/>
    <mergeCell ref="L18:S19"/>
    <mergeCell ref="B14:K14"/>
    <mergeCell ref="B15:K15"/>
    <mergeCell ref="B22:K22"/>
    <mergeCell ref="B21:K21"/>
    <mergeCell ref="L14:S14"/>
    <mergeCell ref="L21:S21"/>
    <mergeCell ref="T18:T19"/>
    <mergeCell ref="L29:T30"/>
    <mergeCell ref="B26:K26"/>
    <mergeCell ref="B25:K25"/>
    <mergeCell ref="B24:K24"/>
    <mergeCell ref="B23:K23"/>
    <mergeCell ref="B18:K19"/>
    <mergeCell ref="B20:J20"/>
    <mergeCell ref="L25:O25"/>
    <mergeCell ref="P25:T25"/>
    <mergeCell ref="L26:O26"/>
    <mergeCell ref="P26:T26"/>
    <mergeCell ref="A64:T65"/>
    <mergeCell ref="A66:E66"/>
    <mergeCell ref="F66:J66"/>
    <mergeCell ref="K66:O66"/>
    <mergeCell ref="P66:T66"/>
    <mergeCell ref="A67:E68"/>
    <mergeCell ref="L17:S17"/>
    <mergeCell ref="L16:S16"/>
    <mergeCell ref="L15:S15"/>
    <mergeCell ref="B29:K29"/>
    <mergeCell ref="B28:K28"/>
    <mergeCell ref="B27:K27"/>
    <mergeCell ref="O59:R59"/>
    <mergeCell ref="O58:R58"/>
    <mergeCell ref="O57:R57"/>
    <mergeCell ref="H61:K61"/>
    <mergeCell ref="H60:K60"/>
    <mergeCell ref="H59:K59"/>
    <mergeCell ref="H58:K58"/>
    <mergeCell ref="A31:T32"/>
    <mergeCell ref="A33:T40"/>
    <mergeCell ref="A43:T46"/>
    <mergeCell ref="L24:T24"/>
    <mergeCell ref="L27:T28"/>
    <mergeCell ref="E90:H90"/>
    <mergeCell ref="R68:T68"/>
    <mergeCell ref="B30:K30"/>
    <mergeCell ref="A86:D86"/>
    <mergeCell ref="I86:N86"/>
    <mergeCell ref="O86:Q86"/>
    <mergeCell ref="A85:D85"/>
    <mergeCell ref="E85:H85"/>
    <mergeCell ref="I85:N85"/>
    <mergeCell ref="O85:Q85"/>
    <mergeCell ref="H69:N69"/>
    <mergeCell ref="R55:T55"/>
    <mergeCell ref="R54:T54"/>
    <mergeCell ref="O55:Q55"/>
    <mergeCell ref="O54:Q54"/>
    <mergeCell ref="H55:N55"/>
    <mergeCell ref="H54:N54"/>
    <mergeCell ref="E55:G55"/>
    <mergeCell ref="E54:G54"/>
    <mergeCell ref="A55:D55"/>
    <mergeCell ref="A54:D54"/>
    <mergeCell ref="F51:J51"/>
    <mergeCell ref="A52:E53"/>
    <mergeCell ref="R53:T53"/>
    <mergeCell ref="E88:H88"/>
    <mergeCell ref="O72:R72"/>
    <mergeCell ref="O73:R73"/>
    <mergeCell ref="O74:R74"/>
    <mergeCell ref="O75:R75"/>
    <mergeCell ref="O76:R76"/>
    <mergeCell ref="F67:G67"/>
    <mergeCell ref="H67:J67"/>
    <mergeCell ref="K67:L67"/>
    <mergeCell ref="M67:O67"/>
    <mergeCell ref="P67:Q67"/>
    <mergeCell ref="M68:O68"/>
    <mergeCell ref="P68:Q68"/>
    <mergeCell ref="R67:T67"/>
    <mergeCell ref="F68:G68"/>
    <mergeCell ref="H68:J68"/>
    <mergeCell ref="K68:L68"/>
    <mergeCell ref="I90:N90"/>
    <mergeCell ref="E92:H92"/>
    <mergeCell ref="O70:T70"/>
    <mergeCell ref="O69:T69"/>
    <mergeCell ref="A75:D75"/>
    <mergeCell ref="H75:K75"/>
    <mergeCell ref="A76:D76"/>
    <mergeCell ref="H76:K76"/>
    <mergeCell ref="A72:D72"/>
    <mergeCell ref="H72:K72"/>
    <mergeCell ref="A73:D73"/>
    <mergeCell ref="H73:K73"/>
    <mergeCell ref="A74:D74"/>
    <mergeCell ref="H74:K74"/>
    <mergeCell ref="A69:D69"/>
    <mergeCell ref="E69:G69"/>
    <mergeCell ref="A70:D70"/>
    <mergeCell ref="E70:G70"/>
    <mergeCell ref="H70:N70"/>
    <mergeCell ref="O90:Q90"/>
    <mergeCell ref="A88:D88"/>
    <mergeCell ref="I88:N88"/>
    <mergeCell ref="O88:Q88"/>
    <mergeCell ref="E86:H86"/>
    <mergeCell ref="A1:B2"/>
    <mergeCell ref="E95:H95"/>
    <mergeCell ref="R85:T85"/>
    <mergeCell ref="R95:T95"/>
    <mergeCell ref="R92:T92"/>
    <mergeCell ref="R90:T90"/>
    <mergeCell ref="R88:T88"/>
    <mergeCell ref="R86:T86"/>
    <mergeCell ref="A94:T94"/>
    <mergeCell ref="C93:T93"/>
    <mergeCell ref="C91:T91"/>
    <mergeCell ref="C89:T89"/>
    <mergeCell ref="C87:T87"/>
    <mergeCell ref="A89:B89"/>
    <mergeCell ref="A87:B87"/>
    <mergeCell ref="A93:B93"/>
    <mergeCell ref="A91:B91"/>
    <mergeCell ref="A95:D95"/>
    <mergeCell ref="I95:N95"/>
    <mergeCell ref="O95:Q95"/>
    <mergeCell ref="A92:D92"/>
    <mergeCell ref="I92:N92"/>
    <mergeCell ref="O92:Q92"/>
    <mergeCell ref="A90:D90"/>
  </mergeCells>
  <conditionalFormatting sqref="L29">
    <cfRule type="expression" dxfId="80" priority="88">
      <formula>$L$29="LOW"</formula>
    </cfRule>
  </conditionalFormatting>
  <conditionalFormatting sqref="L29:T30">
    <cfRule type="expression" dxfId="79" priority="86">
      <formula>$L$29="HIGH"</formula>
    </cfRule>
    <cfRule type="expression" dxfId="78" priority="87">
      <formula>$L$29="MEDIUM"</formula>
    </cfRule>
  </conditionalFormatting>
  <conditionalFormatting sqref="L21:S21">
    <cfRule type="expression" dxfId="77" priority="77">
      <formula>$A$21=FALSE</formula>
    </cfRule>
  </conditionalFormatting>
  <conditionalFormatting sqref="T21">
    <cfRule type="expression" dxfId="76" priority="54">
      <formula>AND($A$21=TRUE,$T$21="")</formula>
    </cfRule>
    <cfRule type="expression" dxfId="75" priority="76">
      <formula>$A$21=FALSE</formula>
    </cfRule>
  </conditionalFormatting>
  <conditionalFormatting sqref="A4">
    <cfRule type="expression" dxfId="74" priority="73">
      <formula>$A$4=""</formula>
    </cfRule>
  </conditionalFormatting>
  <conditionalFormatting sqref="F4:G5">
    <cfRule type="expression" dxfId="73" priority="72">
      <formula>$F$4=""</formula>
    </cfRule>
  </conditionalFormatting>
  <conditionalFormatting sqref="H4:I5">
    <cfRule type="expression" dxfId="72" priority="71">
      <formula>$H$4=""</formula>
    </cfRule>
  </conditionalFormatting>
  <conditionalFormatting sqref="J4:K5">
    <cfRule type="expression" dxfId="71" priority="70">
      <formula>$J$4=""</formula>
    </cfRule>
  </conditionalFormatting>
  <conditionalFormatting sqref="L4:M5">
    <cfRule type="expression" dxfId="70" priority="69">
      <formula>$L$4=""</formula>
    </cfRule>
  </conditionalFormatting>
  <conditionalFormatting sqref="N4:P5">
    <cfRule type="expression" dxfId="69" priority="68">
      <formula>$N$4=""</formula>
    </cfRule>
  </conditionalFormatting>
  <conditionalFormatting sqref="Q4:T5">
    <cfRule type="expression" dxfId="68" priority="67">
      <formula>$Q$4=""</formula>
    </cfRule>
  </conditionalFormatting>
  <conditionalFormatting sqref="A7:F7">
    <cfRule type="expression" dxfId="67" priority="66">
      <formula>$A$7=""</formula>
    </cfRule>
  </conditionalFormatting>
  <conditionalFormatting sqref="A8:F8">
    <cfRule type="expression" dxfId="66" priority="65">
      <formula>$A$8=""</formula>
    </cfRule>
  </conditionalFormatting>
  <conditionalFormatting sqref="G7:J8">
    <cfRule type="expression" dxfId="65" priority="64">
      <formula>$G$7=""</formula>
    </cfRule>
  </conditionalFormatting>
  <conditionalFormatting sqref="A10:C11">
    <cfRule type="expression" priority="16">
      <formula>"IF(A41=""OUT"", A10=""Out of Bounds"",)"</formula>
    </cfRule>
    <cfRule type="expression" dxfId="64" priority="60">
      <formula>$A$10=""</formula>
    </cfRule>
  </conditionalFormatting>
  <conditionalFormatting sqref="D10:G11">
    <cfRule type="expression" dxfId="63" priority="59">
      <formula>$D$10=""</formula>
    </cfRule>
  </conditionalFormatting>
  <conditionalFormatting sqref="H10:J11">
    <cfRule type="expression" dxfId="62" priority="58">
      <formula>$H$10=""</formula>
    </cfRule>
  </conditionalFormatting>
  <conditionalFormatting sqref="K10:M11">
    <cfRule type="expression" dxfId="61" priority="57">
      <formula>$K$10=""</formula>
    </cfRule>
  </conditionalFormatting>
  <conditionalFormatting sqref="O10:P11">
    <cfRule type="expression" dxfId="60" priority="56">
      <formula>$O$10=""</formula>
    </cfRule>
  </conditionalFormatting>
  <conditionalFormatting sqref="Q10:T11">
    <cfRule type="expression" dxfId="59" priority="55">
      <formula>$Q$10=""</formula>
    </cfRule>
  </conditionalFormatting>
  <conditionalFormatting sqref="T14">
    <cfRule type="expression" dxfId="58" priority="53">
      <formula>$T$14=""</formula>
    </cfRule>
  </conditionalFormatting>
  <conditionalFormatting sqref="T15">
    <cfRule type="expression" dxfId="57" priority="52">
      <formula>$T$15=""</formula>
    </cfRule>
  </conditionalFormatting>
  <conditionalFormatting sqref="T16">
    <cfRule type="expression" dxfId="56" priority="51">
      <formula>$T$16=""</formula>
    </cfRule>
  </conditionalFormatting>
  <conditionalFormatting sqref="T17">
    <cfRule type="expression" dxfId="55" priority="50">
      <formula>$T$17=""</formula>
    </cfRule>
  </conditionalFormatting>
  <conditionalFormatting sqref="T18:T19">
    <cfRule type="expression" dxfId="54" priority="49">
      <formula>$T$18=""</formula>
    </cfRule>
  </conditionalFormatting>
  <conditionalFormatting sqref="T20">
    <cfRule type="expression" dxfId="53" priority="48">
      <formula>$T$20=""</formula>
    </cfRule>
  </conditionalFormatting>
  <conditionalFormatting sqref="T22">
    <cfRule type="expression" dxfId="52" priority="47">
      <formula>$T$22=""</formula>
    </cfRule>
  </conditionalFormatting>
  <conditionalFormatting sqref="A52:E53">
    <cfRule type="expression" dxfId="51" priority="46">
      <formula>$A$52=""</formula>
    </cfRule>
  </conditionalFormatting>
  <conditionalFormatting sqref="H52:J52">
    <cfRule type="expression" dxfId="50" priority="45">
      <formula>$H$52=""</formula>
    </cfRule>
  </conditionalFormatting>
  <conditionalFormatting sqref="H53:J53">
    <cfRule type="expression" dxfId="49" priority="44">
      <formula>$H$53=""</formula>
    </cfRule>
  </conditionalFormatting>
  <conditionalFormatting sqref="M53:O53">
    <cfRule type="expression" dxfId="48" priority="42">
      <formula>$M$53=""</formula>
    </cfRule>
  </conditionalFormatting>
  <conditionalFormatting sqref="M52:O52">
    <cfRule type="expression" dxfId="47" priority="41">
      <formula>$M$52=""</formula>
    </cfRule>
  </conditionalFormatting>
  <conditionalFormatting sqref="R52:T52">
    <cfRule type="expression" dxfId="46" priority="40">
      <formula>$R$52=""</formula>
    </cfRule>
  </conditionalFormatting>
  <conditionalFormatting sqref="R53:T53">
    <cfRule type="expression" dxfId="45" priority="39">
      <formula>$R$53=""</formula>
    </cfRule>
  </conditionalFormatting>
  <conditionalFormatting sqref="E54:G54">
    <cfRule type="expression" dxfId="44" priority="38">
      <formula>$E$54=""</formula>
    </cfRule>
  </conditionalFormatting>
  <conditionalFormatting sqref="E55:G55">
    <cfRule type="expression" dxfId="43" priority="37">
      <formula>$E$55=""</formula>
    </cfRule>
  </conditionalFormatting>
  <conditionalFormatting sqref="R55:T55">
    <cfRule type="expression" dxfId="42" priority="36">
      <formula>$R$55=""</formula>
    </cfRule>
  </conditionalFormatting>
  <conditionalFormatting sqref="A67:E68">
    <cfRule type="expression" dxfId="41" priority="35">
      <formula>$A$67=""</formula>
    </cfRule>
  </conditionalFormatting>
  <conditionalFormatting sqref="H67:J67">
    <cfRule type="expression" dxfId="40" priority="34">
      <formula>$H$67=""</formula>
    </cfRule>
  </conditionalFormatting>
  <conditionalFormatting sqref="H68:J68">
    <cfRule type="expression" dxfId="39" priority="33">
      <formula>$H$68=""</formula>
    </cfRule>
  </conditionalFormatting>
  <conditionalFormatting sqref="M67:O67">
    <cfRule type="expression" dxfId="38" priority="32">
      <formula>$M$67=""</formula>
    </cfRule>
  </conditionalFormatting>
  <conditionalFormatting sqref="M68:O68">
    <cfRule type="expression" dxfId="37" priority="31">
      <formula>$M$68=""</formula>
    </cfRule>
  </conditionalFormatting>
  <conditionalFormatting sqref="R67:T67">
    <cfRule type="expression" dxfId="36" priority="27">
      <formula>$R$67=""</formula>
    </cfRule>
  </conditionalFormatting>
  <conditionalFormatting sqref="R68:T68">
    <cfRule type="expression" dxfId="35" priority="26">
      <formula>$R$68=""</formula>
    </cfRule>
  </conditionalFormatting>
  <conditionalFormatting sqref="E69:G69">
    <cfRule type="expression" dxfId="34" priority="25">
      <formula>$E$69=""</formula>
    </cfRule>
  </conditionalFormatting>
  <conditionalFormatting sqref="E70:G70">
    <cfRule type="expression" dxfId="33" priority="24">
      <formula>$E$70=""</formula>
    </cfRule>
  </conditionalFormatting>
  <conditionalFormatting sqref="L24:T24">
    <cfRule type="expression" dxfId="32" priority="5">
      <formula>OR($T$22="", $T$22="No")</formula>
    </cfRule>
    <cfRule type="expression" dxfId="31" priority="23">
      <formula>AND($T$22="Yes",$L$24="")</formula>
    </cfRule>
  </conditionalFormatting>
  <conditionalFormatting sqref="L8:N8">
    <cfRule type="expression" dxfId="30" priority="20">
      <formula>$L$8=""</formula>
    </cfRule>
  </conditionalFormatting>
  <conditionalFormatting sqref="L7:N7">
    <cfRule type="expression" dxfId="29" priority="19">
      <formula>$L$7=""</formula>
    </cfRule>
  </conditionalFormatting>
  <conditionalFormatting sqref="P7:R7">
    <cfRule type="expression" dxfId="28" priority="18">
      <formula>$P$7=""</formula>
    </cfRule>
  </conditionalFormatting>
  <conditionalFormatting sqref="P8:R8">
    <cfRule type="expression" dxfId="27" priority="17">
      <formula>$P$8=""</formula>
    </cfRule>
  </conditionalFormatting>
  <conditionalFormatting sqref="E86:H86">
    <cfRule type="expression" dxfId="26" priority="15">
      <formula>$E$86=""</formula>
    </cfRule>
  </conditionalFormatting>
  <conditionalFormatting sqref="E88:H88">
    <cfRule type="expression" dxfId="25" priority="14">
      <formula>$E$88=""</formula>
    </cfRule>
  </conditionalFormatting>
  <conditionalFormatting sqref="E90:H90">
    <cfRule type="expression" dxfId="24" priority="13">
      <formula>$E$90=""</formula>
    </cfRule>
  </conditionalFormatting>
  <conditionalFormatting sqref="E92:H92">
    <cfRule type="expression" dxfId="23" priority="12">
      <formula>$E$92=""</formula>
    </cfRule>
  </conditionalFormatting>
  <conditionalFormatting sqref="E95:H95">
    <cfRule type="expression" dxfId="22" priority="11">
      <formula>AND($E$92="Denied",$E$95="")</formula>
    </cfRule>
  </conditionalFormatting>
  <conditionalFormatting sqref="L26:O26">
    <cfRule type="expression" dxfId="21" priority="3">
      <formula>OR($T$22="", $T$22="No")</formula>
    </cfRule>
    <cfRule type="expression" dxfId="20" priority="10">
      <formula>AND($T$22="Yes", $L$26="")</formula>
    </cfRule>
  </conditionalFormatting>
  <conditionalFormatting sqref="P26:T26">
    <cfRule type="expression" dxfId="19" priority="2">
      <formula>OR($T$22="", $T$22="No")</formula>
    </cfRule>
    <cfRule type="expression" dxfId="18" priority="9">
      <formula>AND($T$22="Yes", $P$26="")</formula>
    </cfRule>
  </conditionalFormatting>
  <conditionalFormatting sqref="L23:T23">
    <cfRule type="expression" dxfId="17" priority="6">
      <formula>OR($T$22="", $T$22="No")</formula>
    </cfRule>
  </conditionalFormatting>
  <conditionalFormatting sqref="L25:O25">
    <cfRule type="expression" dxfId="16" priority="4">
      <formula>OR($T$22="", $T$22="No")</formula>
    </cfRule>
  </conditionalFormatting>
  <conditionalFormatting sqref="P25:T25">
    <cfRule type="expression" dxfId="15" priority="1">
      <formula>OR($T$22="", $T$22="No")</formula>
    </cfRule>
  </conditionalFormatting>
  <dataValidations xWindow="827" yWindow="350" count="28">
    <dataValidation type="list" allowBlank="1" showInputMessage="1" showErrorMessage="1" errorTitle="Input Error:" error="You must enter either &quot;Yes&quot; or &quot;No&quot; to this question." sqref="T21:T22 T14:T19">
      <formula1>"Yes, No"</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A10:C11">
      <formula1>Nature_of_Request</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H10:J11">
      <formula1>Mode_of_Travel</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O10:P11">
      <formula1>Rank</formula1>
    </dataValidation>
    <dataValidation type="decimal" allowBlank="1" showInputMessage="1" showErrorMessage="1" errorTitle="Input Error" error="You must enter a number between 0 and 90._x000a__x000a_Valid number formats are #.0, or #.5._x000a__x000a_For example, 5.0 or 7.5" sqref="N4:P5">
      <formula1>0</formula1>
      <formula2>90</formula2>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H67:J67 H52:J52 M52:O52 M67:O67">
      <formula1>State</formula1>
    </dataValidation>
    <dataValidation type="whole" allowBlank="1" showInputMessage="1" showErrorMessage="1" errorTitle="Input Error:" error="You must enter a whole number between 1 and 15." sqref="R55:T55">
      <formula1>0</formula1>
      <formula2>15</formula2>
    </dataValidation>
    <dataValidation type="whole" operator="greaterThanOrEqual" allowBlank="1" showInputMessage="1" showErrorMessage="1" errorTitle="Input Error" error="You must enter a whole number." sqref="K10:M11">
      <formula1>0</formula1>
    </dataValidation>
    <dataValidation type="custom" allowBlank="1" showInputMessage="1" showErrorMessage="1" errorTitle="Input Error" error="One of the following caused this error._x000a__x000a_- You have either entered an incorrect date or date format._x000a_- The chosen date is one year or more from today._x000a_- The chosen date is in the past._x000a__x000a_Please ensure you enter a valid date." sqref="L8:N8 P26:T26 Q4:T5">
      <formula1>AND(VALUE(LEFT(L4,LEN(L4)-4))&lt;=9999,VALUE(MID(L4,LEN(L4)-3, 2))&lt;=12,VALUE(RIGHT(L4,LEN(L4)-6))&lt;=31,L4&gt;=VALUE(TEXT(TODAY(), "yyyymmdd")), L4&lt;=VALUE(TEXT(TODAY(), "yyyymmdd"))+10000)</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D10:G11">
      <formula1>Justification_of_Request</formula1>
    </dataValidation>
    <dataValidation type="whole" allowBlank="1" showInputMessage="1" showErrorMessage="1" errorTitle="Input Error" error="Your EDIPI should be a ten digit number." sqref="H4:I5">
      <formula1>1000000001</formula1>
      <formula2>9999999999</formula2>
    </dataValidation>
    <dataValidation type="list" allowBlank="1" showInputMessage="1" showErrorMessage="1" sqref="T20">
      <formula1>"1, 2, 3, 4"</formula1>
    </dataValidation>
    <dataValidation type="list" showInputMessage="1" showErrorMessage="1" errorTitle="Input Error" error="The typed input is an unsupported value. Please use the dropdown box and select an option._x000a_" promptTitle="Dropdown box" prompt="This cell utilizes a drop down box for you to choose from, please use it." sqref="J4:K5">
      <formula1>Companies</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L4:M5">
      <formula1>DepDD_Sections</formula1>
    </dataValidation>
    <dataValidation type="custom" allowBlank="1" showInputMessage="1" showErrorMessage="1" errorTitle="Input Error:" error="You must enter a date in the format of Month Year._x000a__x000a_For Example:_x000a_February 2020 would be entered as &quot;Feb 2020&quot;" promptTitle="Date Format" prompt="Please use the date format of Month Year._x000a__x000a_For Example:_x000a_February 2020 would be entered as &quot;Feb 2020&quot;" sqref="R53:T53 E70:G70 R68:T68 E55:G55">
      <formula1>AND(ISNUMBER(E53), OR(LEN(E53)=0,LEN(E53)=5), OR(LEN(E53)=0, E53&gt;=VALUE(TEXT(TODAY(),"MMM-YYYY"))))</formula1>
    </dataValidation>
    <dataValidation type="custom" allowBlank="1" showInputMessage="1" showErrorMessage="1" errorTitle="Input Error" error="One of the following caused this error._x000a__x000a_- You have either entered an incorrect date or date format._x000a_- The chosen date is one year or more from today._x000a_- The chosen date is in the past._x000a__x000a_Please ensure you enter a valid date." sqref="P8:R8">
      <formula1>AND(VALUE(LEFT(P8,LEN(P8)-4))&lt;=9999,VALUE(MID(P8,LEN(P8)-3, 2))&lt;=12,VALUE(RIGHT(P8,LEN(P8)-6))&lt;=31,P8&gt;=L8, P8&lt;=VALUE(TEXT(TODAY(), "yyyymmdd"))+10000)</formula1>
    </dataValidation>
    <dataValidation type="custom" allowBlank="1" showInputMessage="1" showErrorMessage="1" errorTitle="Input Error" error="You have used an incorrect time format. Please only use military time. Ensure you do not include a colon (:) or time designators (am, pm), and that your input is only four digits long." prompt="Press &quot;Enter&quot; when you are done typing." sqref="L7:N7">
      <formula1>AND((ISERROR(FIND(":",L7))), (A41=4), (VALUE(LEFT(TEXT(L7,"00\:00"),2))&gt;=0), (VALUE(LEFT(TEXT(L7,"00\:00"),2))&lt;=23), (VALUE(RIGHT(TEXT(L7,"00\:00"),2))&gt;=0), (VALUE(RIGHT(TEXT(L7,"00\:00"),2))&lt;=59))</formula1>
    </dataValidation>
    <dataValidation type="custom" allowBlank="1" showInputMessage="1" showErrorMessage="1" errorTitle="Input Error" error="You have used an incorrect time format. Please only use military time. Ensure you do not include a colon (:) or time designators (am, pm), and that your input is only four digits long." prompt="Press &quot;Enter&quot; when you are done typing." sqref="P7:R7">
      <formula1>AND((ISERROR(FIND(":",P7))), (B41=4), (VALUE(LEFT(TEXT(P7,"00\:00"),2))&gt;=0), (VALUE(LEFT(TEXT(P7,"00\:00"),2))&lt;=23), (VALUE(RIGHT(TEXT(P7,"00\:00"),2))&gt;=0), (VALUE(RIGHT(TEXT(P7,"00\:00"),2))&lt;=59))</formula1>
    </dataValidation>
    <dataValidation type="list" allowBlank="1" showInputMessage="1" showErrorMessage="1" errorTitle="Input Error" error="The typed input is an unsupported value. Please use the dropdown box and select an option." promptTitle="Dropdown Option" prompt="This cell utilizes a drop down box for you to choose from, please use it." sqref="F4:G5">
      <formula1>Rank</formula1>
    </dataValidation>
    <dataValidation allowBlank="1" showInputMessage="1" showErrorMessage="1" prompt="House Number and Road goes here._x000a_City, State and Zip goes below." sqref="A7:F7"/>
    <dataValidation allowBlank="1" showInputMessage="1" showErrorMessage="1" prompt="City, State and Zip goes here._x000a_House Number and Road goes above." sqref="A8:F8"/>
    <dataValidation allowBlank="1" showInputMessage="1" showErrorMessage="1" errorTitle="Input Error" error="Please only use letters, spaces, commas, and periods._x000a__x000a_Example:_x000a_Doe, John M." prompt="Ensure the name fits the format shown in the header." sqref="Q10:T11"/>
    <dataValidation type="custom" allowBlank="1" showInputMessage="1" showErrorMessage="1" errorTitle="Input Error" error="Please only use letters, spaces, commas, and periods._x000a__x000a_Example:_x000a_Doe, John M." prompt="Ensure the name fits the format shown in the header, otherwise errors will be displayed on the &quot;Travel Plan&quot; tab." sqref="A4:E5">
      <formula1>ISTEXT(A4)</formula1>
    </dataValidation>
    <dataValidation type="custom" allowBlank="1" showInputMessage="1" showErrorMessage="1" errorTitle="Input Error" error="Please only use numbers. Do not use spaces, parentheses, or hyphens." sqref="G7:J8">
      <formula1>ISNUMBER(G7)</formula1>
    </dataValidation>
    <dataValidation type="list" allowBlank="1" showInputMessage="1" showErrorMessage="1" sqref="E92:H92 E95:H95">
      <formula1>"Approved, Denied"</formula1>
    </dataValidation>
    <dataValidation type="list" allowBlank="1" showInputMessage="1" showErrorMessage="1" sqref="E86 E88 E90">
      <formula1>"Recommended, Not Recommended"</formula1>
    </dataValidation>
    <dataValidation type="custom" allowBlank="1" showInputMessage="1" showErrorMessage="1" errorTitle="Input Error:" error="You must enter a date in the format of Month Year._x000a__x000a_For Example:_x000a_February 2020 would be entered as &quot;Feb 2020&quot;" promptTitle="Date Format" prompt="Please use the date format of Month Year, or 'N/A' if your state does not require an inspection._x000a__x000a_For Example:_x000a_February 2020 would be entered as &quot;Feb 2020&quot;" sqref="E69:G69 E54:G54">
      <formula1>OR(E54="N/A", AND(ISNUMBER(E54), OR(LEN(E54)=0,LEN(E54)=5), OR(LEN(E54)=0, E54&gt;=VALUE(TEXT(TODAY(),"MMM-YYYY")))))</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L26:O26">
      <formula1>Duties</formula1>
    </dataValidation>
  </dataValidations>
  <printOptions horizontalCentered="1" verticalCentered="1"/>
  <pageMargins left="0.25" right="0.25" top="0.75" bottom="0.75" header="0.3" footer="0.3"/>
  <pageSetup scale="8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9" r:id="rId4" name="Button 91">
              <controlPr defaultSize="0" print="0" autoFill="0" autoPict="0" macro="[0]!SNCOIC_Signature">
                <anchor moveWithCells="1" sizeWithCells="1">
                  <from>
                    <xdr:col>17</xdr:col>
                    <xdr:colOff>19050</xdr:colOff>
                    <xdr:row>85</xdr:row>
                    <xdr:rowOff>9525</xdr:rowOff>
                  </from>
                  <to>
                    <xdr:col>19</xdr:col>
                    <xdr:colOff>361950</xdr:colOff>
                    <xdr:row>85</xdr:row>
                    <xdr:rowOff>190500</xdr:rowOff>
                  </to>
                </anchor>
              </controlPr>
            </control>
          </mc:Choice>
        </mc:AlternateContent>
        <mc:AlternateContent xmlns:mc="http://schemas.openxmlformats.org/markup-compatibility/2006">
          <mc:Choice Requires="x14">
            <control shapeId="2140" r:id="rId5" name="Button 92">
              <controlPr defaultSize="0" print="0" autoFill="0" autoPict="0" macro="[0]!OIC_Signature">
                <anchor moveWithCells="1" sizeWithCells="1">
                  <from>
                    <xdr:col>17</xdr:col>
                    <xdr:colOff>19050</xdr:colOff>
                    <xdr:row>87</xdr:row>
                    <xdr:rowOff>9525</xdr:rowOff>
                  </from>
                  <to>
                    <xdr:col>19</xdr:col>
                    <xdr:colOff>361950</xdr:colOff>
                    <xdr:row>87</xdr:row>
                    <xdr:rowOff>190500</xdr:rowOff>
                  </to>
                </anchor>
              </controlPr>
            </control>
          </mc:Choice>
        </mc:AlternateContent>
        <mc:AlternateContent xmlns:mc="http://schemas.openxmlformats.org/markup-compatibility/2006">
          <mc:Choice Requires="x14">
            <control shapeId="2142" r:id="rId6" name="Button 94">
              <controlPr defaultSize="0" print="0" autoFill="0" autoPict="0" macro="[0]!FirstSgt_Signature">
                <anchor moveWithCells="1" sizeWithCells="1">
                  <from>
                    <xdr:col>17</xdr:col>
                    <xdr:colOff>19050</xdr:colOff>
                    <xdr:row>89</xdr:row>
                    <xdr:rowOff>9525</xdr:rowOff>
                  </from>
                  <to>
                    <xdr:col>19</xdr:col>
                    <xdr:colOff>361950</xdr:colOff>
                    <xdr:row>89</xdr:row>
                    <xdr:rowOff>190500</xdr:rowOff>
                  </to>
                </anchor>
              </controlPr>
            </control>
          </mc:Choice>
        </mc:AlternateContent>
        <mc:AlternateContent xmlns:mc="http://schemas.openxmlformats.org/markup-compatibility/2006">
          <mc:Choice Requires="x14">
            <control shapeId="2143" r:id="rId7" name="Button 95">
              <controlPr defaultSize="0" print="0" autoFill="0" autoPict="0" macro="[0]!CC_Signature">
                <anchor moveWithCells="1" sizeWithCells="1">
                  <from>
                    <xdr:col>17</xdr:col>
                    <xdr:colOff>19050</xdr:colOff>
                    <xdr:row>91</xdr:row>
                    <xdr:rowOff>9525</xdr:rowOff>
                  </from>
                  <to>
                    <xdr:col>19</xdr:col>
                    <xdr:colOff>361950</xdr:colOff>
                    <xdr:row>91</xdr:row>
                    <xdr:rowOff>190500</xdr:rowOff>
                  </to>
                </anchor>
              </controlPr>
            </control>
          </mc:Choice>
        </mc:AlternateContent>
        <mc:AlternateContent xmlns:mc="http://schemas.openxmlformats.org/markup-compatibility/2006">
          <mc:Choice Requires="x14">
            <control shapeId="2145" r:id="rId8" name="Button 97">
              <controlPr defaultSize="0" print="0" autoFill="0" autoPict="0" macro="[0]!CO_Signature">
                <anchor moveWithCells="1" sizeWithCells="1">
                  <from>
                    <xdr:col>17</xdr:col>
                    <xdr:colOff>19050</xdr:colOff>
                    <xdr:row>94</xdr:row>
                    <xdr:rowOff>9525</xdr:rowOff>
                  </from>
                  <to>
                    <xdr:col>19</xdr:col>
                    <xdr:colOff>361950</xdr:colOff>
                    <xdr:row>94</xdr:row>
                    <xdr:rowOff>190500</xdr:rowOff>
                  </to>
                </anchor>
              </controlPr>
            </control>
          </mc:Choice>
        </mc:AlternateContent>
        <mc:AlternateContent xmlns:mc="http://schemas.openxmlformats.org/markup-compatibility/2006">
          <mc:Choice Requires="x14">
            <control shapeId="2146" r:id="rId9" name="Button 98">
              <controlPr defaultSize="0" print="0" autoFill="0" autoPict="0" macro="[0]!Buttons.Finalize_HARP">
                <anchor moveWithCells="1" sizeWithCells="1">
                  <from>
                    <xdr:col>10</xdr:col>
                    <xdr:colOff>133350</xdr:colOff>
                    <xdr:row>76</xdr:row>
                    <xdr:rowOff>57150</xdr:rowOff>
                  </from>
                  <to>
                    <xdr:col>13</xdr:col>
                    <xdr:colOff>95250</xdr:colOff>
                    <xdr:row>78</xdr:row>
                    <xdr:rowOff>95250</xdr:rowOff>
                  </to>
                </anchor>
              </controlPr>
            </control>
          </mc:Choice>
        </mc:AlternateContent>
        <mc:AlternateContent xmlns:mc="http://schemas.openxmlformats.org/markup-compatibility/2006">
          <mc:Choice Requires="x14">
            <control shapeId="2151" r:id="rId10" name="Button 103">
              <controlPr defaultSize="0" print="0" autoFill="0" autoPict="0" macro="[0]!Buttons.Reset_HARP">
                <anchor moveWithCells="1" sizeWithCells="1">
                  <from>
                    <xdr:col>16</xdr:col>
                    <xdr:colOff>200025</xdr:colOff>
                    <xdr:row>0</xdr:row>
                    <xdr:rowOff>28575</xdr:rowOff>
                  </from>
                  <to>
                    <xdr:col>19</xdr:col>
                    <xdr:colOff>161925</xdr:colOff>
                    <xdr:row>1</xdr:row>
                    <xdr:rowOff>114300</xdr:rowOff>
                  </to>
                </anchor>
              </controlPr>
            </control>
          </mc:Choice>
        </mc:AlternateContent>
        <mc:AlternateContent xmlns:mc="http://schemas.openxmlformats.org/markup-compatibility/2006">
          <mc:Choice Requires="x14">
            <control shapeId="2154" r:id="rId11" name="Check Box 106">
              <controlPr defaultSize="0" autoFill="0" autoLine="0" autoPict="0" macro="[0]!CheckBox106_Click" altText="">
                <anchor moveWithCells="1">
                  <from>
                    <xdr:col>4</xdr:col>
                    <xdr:colOff>76200</xdr:colOff>
                    <xdr:row>57</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155" r:id="rId12" name="Check Box 107">
              <controlPr defaultSize="0" autoFill="0" autoLine="0" autoPict="0" macro="[0]!CheckBox107_Click" altText="">
                <anchor moveWithCells="1">
                  <from>
                    <xdr:col>5</xdr:col>
                    <xdr:colOff>76200</xdr:colOff>
                    <xdr:row>57</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2" r:id="rId13" name="Check Box 164">
              <controlPr defaultSize="0" autoFill="0" autoLine="0" autoPict="0" macro="[0]!CheckBox164_Click" altText="">
                <anchor moveWithCells="1">
                  <from>
                    <xdr:col>4</xdr:col>
                    <xdr:colOff>76200</xdr:colOff>
                    <xdr:row>58</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3" r:id="rId14" name="Check Box 165">
              <controlPr defaultSize="0" autoFill="0" autoLine="0" autoPict="0" macro="[0]!CheckBox165_Click" altText="">
                <anchor moveWithCells="1">
                  <from>
                    <xdr:col>5</xdr:col>
                    <xdr:colOff>76200</xdr:colOff>
                    <xdr:row>58</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4" r:id="rId15" name="Check Box 166">
              <controlPr defaultSize="0" autoFill="0" autoLine="0" autoPict="0" macro="[0]!CheckBox166_Click" altText="">
                <anchor moveWithCells="1">
                  <from>
                    <xdr:col>4</xdr:col>
                    <xdr:colOff>76200</xdr:colOff>
                    <xdr:row>59</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5" r:id="rId16" name="Check Box 167">
              <controlPr defaultSize="0" autoFill="0" autoLine="0" autoPict="0" macro="[0]!CheckBox167_Click" altText="">
                <anchor moveWithCells="1">
                  <from>
                    <xdr:col>5</xdr:col>
                    <xdr:colOff>76200</xdr:colOff>
                    <xdr:row>59</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6" r:id="rId17" name="Check Box 168">
              <controlPr defaultSize="0" autoFill="0" autoLine="0" autoPict="0" macro="[0]!CheckBox168_Click" altText="">
                <anchor moveWithCells="1">
                  <from>
                    <xdr:col>4</xdr:col>
                    <xdr:colOff>76200</xdr:colOff>
                    <xdr:row>60</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7" r:id="rId18" name="Check Box 169">
              <controlPr defaultSize="0" autoFill="0" autoLine="0" autoPict="0" macro="[0]!CheckBox169_Click" altText="">
                <anchor moveWithCells="1">
                  <from>
                    <xdr:col>5</xdr:col>
                    <xdr:colOff>76200</xdr:colOff>
                    <xdr:row>60</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8" r:id="rId19" name="Check Box 170">
              <controlPr defaultSize="0" autoFill="0" autoLine="0" autoPict="0" macro="[0]!CheckBox170_Click" altText="">
                <anchor moveWithCells="1">
                  <from>
                    <xdr:col>4</xdr:col>
                    <xdr:colOff>76200</xdr:colOff>
                    <xdr:row>61</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9" r:id="rId20" name="Check Box 171">
              <controlPr defaultSize="0" autoFill="0" autoLine="0" autoPict="0" macro="[0]!CheckBox171_Click" altText="">
                <anchor moveWithCells="1">
                  <from>
                    <xdr:col>5</xdr:col>
                    <xdr:colOff>76200</xdr:colOff>
                    <xdr:row>61</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20" r:id="rId21" name="Check Box 172">
              <controlPr defaultSize="0" autoFill="0" autoLine="0" autoPict="0" macro="[0]!CheckBox172_Click" altText="">
                <anchor moveWithCells="1">
                  <from>
                    <xdr:col>4</xdr:col>
                    <xdr:colOff>76200</xdr:colOff>
                    <xdr:row>62</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21" r:id="rId22" name="Check Box 173">
              <controlPr defaultSize="0" autoFill="0" autoLine="0" autoPict="0" macro="[0]!CheckBox173_Click" altText="">
                <anchor moveWithCells="1">
                  <from>
                    <xdr:col>5</xdr:col>
                    <xdr:colOff>76200</xdr:colOff>
                    <xdr:row>62</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22" r:id="rId23" name="Check Box 174">
              <controlPr defaultSize="0" autoFill="0" autoLine="0" autoPict="0" macro="[0]!CheckBox174_Click" altText="">
                <anchor moveWithCells="1">
                  <from>
                    <xdr:col>11</xdr:col>
                    <xdr:colOff>76200</xdr:colOff>
                    <xdr:row>57</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3" r:id="rId24" name="Check Box 175">
              <controlPr defaultSize="0" autoFill="0" autoLine="0" autoPict="0" macro="[0]!CheckBox175_Click" altText="">
                <anchor moveWithCells="1">
                  <from>
                    <xdr:col>12</xdr:col>
                    <xdr:colOff>76200</xdr:colOff>
                    <xdr:row>57</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4" r:id="rId25" name="Check Box 176">
              <controlPr defaultSize="0" autoFill="0" autoLine="0" autoPict="0" macro="[0]!CheckBox176_Click" altText="">
                <anchor moveWithCells="1">
                  <from>
                    <xdr:col>11</xdr:col>
                    <xdr:colOff>76200</xdr:colOff>
                    <xdr:row>58</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5" r:id="rId26" name="Check Box 177">
              <controlPr defaultSize="0" autoFill="0" autoLine="0" autoPict="0" macro="[0]!CheckBox177_Click" altText="">
                <anchor moveWithCells="1">
                  <from>
                    <xdr:col>12</xdr:col>
                    <xdr:colOff>76200</xdr:colOff>
                    <xdr:row>58</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6" r:id="rId27" name="Check Box 178">
              <controlPr defaultSize="0" autoFill="0" autoLine="0" autoPict="0" macro="[0]!CheckBox178_Click" altText="">
                <anchor moveWithCells="1">
                  <from>
                    <xdr:col>11</xdr:col>
                    <xdr:colOff>76200</xdr:colOff>
                    <xdr:row>59</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7" r:id="rId28" name="Check Box 179">
              <controlPr defaultSize="0" autoFill="0" autoLine="0" autoPict="0" macro="[0]!CheckBox179_Click" altText="">
                <anchor moveWithCells="1">
                  <from>
                    <xdr:col>12</xdr:col>
                    <xdr:colOff>76200</xdr:colOff>
                    <xdr:row>59</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8" r:id="rId29" name="Check Box 180">
              <controlPr defaultSize="0" autoFill="0" autoLine="0" autoPict="0" macro="[0]!CheckBox180_Click" altText="">
                <anchor moveWithCells="1">
                  <from>
                    <xdr:col>11</xdr:col>
                    <xdr:colOff>76200</xdr:colOff>
                    <xdr:row>60</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9" r:id="rId30" name="Check Box 181">
              <controlPr defaultSize="0" autoFill="0" autoLine="0" autoPict="0" macro="[0]!CheckBox181_Click" altText="">
                <anchor moveWithCells="1">
                  <from>
                    <xdr:col>12</xdr:col>
                    <xdr:colOff>76200</xdr:colOff>
                    <xdr:row>60</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0" r:id="rId31" name="Check Box 182">
              <controlPr defaultSize="0" autoFill="0" autoLine="0" autoPict="0" macro="[0]!CheckBox182_Click" altText="">
                <anchor moveWithCells="1">
                  <from>
                    <xdr:col>11</xdr:col>
                    <xdr:colOff>76200</xdr:colOff>
                    <xdr:row>61</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31" r:id="rId32" name="Check Box 183">
              <controlPr defaultSize="0" autoFill="0" autoLine="0" autoPict="0" macro="[0]!CheckBox183_Click" altText="">
                <anchor moveWithCells="1">
                  <from>
                    <xdr:col>12</xdr:col>
                    <xdr:colOff>76200</xdr:colOff>
                    <xdr:row>61</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2" r:id="rId33" name="Check Box 184">
              <controlPr defaultSize="0" autoFill="0" autoLine="0" autoPict="0" macro="[0]!CheckBox184_Click" altText="">
                <anchor moveWithCells="1">
                  <from>
                    <xdr:col>11</xdr:col>
                    <xdr:colOff>76200</xdr:colOff>
                    <xdr:row>62</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33" r:id="rId34" name="Check Box 185">
              <controlPr defaultSize="0" autoFill="0" autoLine="0" autoPict="0" macro="[0]!CheckBox185_Click" altText="">
                <anchor moveWithCells="1">
                  <from>
                    <xdr:col>12</xdr:col>
                    <xdr:colOff>76200</xdr:colOff>
                    <xdr:row>62</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4" r:id="rId35" name="Check Box 186">
              <controlPr defaultSize="0" autoFill="0" autoLine="0" autoPict="0" macro="[0]!CheckBox186_Click" altText="">
                <anchor moveWithCells="1">
                  <from>
                    <xdr:col>18</xdr:col>
                    <xdr:colOff>76200</xdr:colOff>
                    <xdr:row>57</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5" r:id="rId36" name="Check Box 187">
              <controlPr defaultSize="0" autoFill="0" autoLine="0" autoPict="0" macro="[0]!CheckBox187_Click" altText="">
                <anchor moveWithCells="1">
                  <from>
                    <xdr:col>19</xdr:col>
                    <xdr:colOff>76200</xdr:colOff>
                    <xdr:row>57</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36" r:id="rId37" name="Check Box 188">
              <controlPr defaultSize="0" autoFill="0" autoLine="0" autoPict="0" macro="[0]!CheckBox188_Click" altText="">
                <anchor moveWithCells="1">
                  <from>
                    <xdr:col>18</xdr:col>
                    <xdr:colOff>76200</xdr:colOff>
                    <xdr:row>58</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7" r:id="rId38" name="Check Box 189">
              <controlPr defaultSize="0" autoFill="0" autoLine="0" autoPict="0" macro="[0]!CheckBox189_Click" altText="">
                <anchor moveWithCells="1">
                  <from>
                    <xdr:col>19</xdr:col>
                    <xdr:colOff>76200</xdr:colOff>
                    <xdr:row>58</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38" r:id="rId39" name="Check Box 190">
              <controlPr defaultSize="0" autoFill="0" autoLine="0" autoPict="0" macro="[0]!CheckBox190_Click" altText="">
                <anchor moveWithCells="1">
                  <from>
                    <xdr:col>18</xdr:col>
                    <xdr:colOff>76200</xdr:colOff>
                    <xdr:row>59</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9" r:id="rId40" name="Check Box 191">
              <controlPr defaultSize="0" autoFill="0" autoLine="0" autoPict="0" macro="[0]!CheckBox191_Click" altText="">
                <anchor moveWithCells="1">
                  <from>
                    <xdr:col>19</xdr:col>
                    <xdr:colOff>76200</xdr:colOff>
                    <xdr:row>59</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0" r:id="rId41" name="Check Box 192">
              <controlPr defaultSize="0" autoFill="0" autoLine="0" autoPict="0" macro="[0]!CheckBox192_Click" altText="">
                <anchor moveWithCells="1">
                  <from>
                    <xdr:col>18</xdr:col>
                    <xdr:colOff>76200</xdr:colOff>
                    <xdr:row>60</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1" r:id="rId42" name="Check Box 193">
              <controlPr defaultSize="0" autoFill="0" autoLine="0" autoPict="0" macro="[0]!CheckBox193_Click" altText="">
                <anchor moveWithCells="1">
                  <from>
                    <xdr:col>19</xdr:col>
                    <xdr:colOff>76200</xdr:colOff>
                    <xdr:row>60</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2" r:id="rId43" name="Check Box 194">
              <controlPr defaultSize="0" autoFill="0" autoLine="0" autoPict="0" macro="[0]!CheckBox194_Click" altText="">
                <anchor moveWithCells="1">
                  <from>
                    <xdr:col>18</xdr:col>
                    <xdr:colOff>76200</xdr:colOff>
                    <xdr:row>61</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3" r:id="rId44" name="Check Box 195">
              <controlPr defaultSize="0" autoFill="0" autoLine="0" autoPict="0" macro="[0]!CheckBox195_Click" altText="">
                <anchor moveWithCells="1">
                  <from>
                    <xdr:col>19</xdr:col>
                    <xdr:colOff>76200</xdr:colOff>
                    <xdr:row>61</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4" r:id="rId45" name="Check Box 196">
              <controlPr defaultSize="0" autoFill="0" autoLine="0" autoPict="0" macro="[0]!CheckBox196_Click" altText="">
                <anchor moveWithCells="1">
                  <from>
                    <xdr:col>18</xdr:col>
                    <xdr:colOff>76200</xdr:colOff>
                    <xdr:row>62</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5" r:id="rId46" name="Check Box 197">
              <controlPr defaultSize="0" autoFill="0" autoLine="0" autoPict="0" macro="[0]!CheckBox197_Click" altText="">
                <anchor moveWithCells="1">
                  <from>
                    <xdr:col>19</xdr:col>
                    <xdr:colOff>76200</xdr:colOff>
                    <xdr:row>62</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6" r:id="rId47" name="Check Box 198">
              <controlPr defaultSize="0" autoFill="0" autoLine="0" autoPict="0" macro="[0]!CheckBox198_Click" altText="">
                <anchor moveWithCells="1">
                  <from>
                    <xdr:col>4</xdr:col>
                    <xdr:colOff>76200</xdr:colOff>
                    <xdr:row>72</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47" r:id="rId48" name="Check Box 199">
              <controlPr defaultSize="0" autoFill="0" autoLine="0" autoPict="0" macro="[0]!CheckBox199_Click" altText="">
                <anchor moveWithCells="1">
                  <from>
                    <xdr:col>5</xdr:col>
                    <xdr:colOff>76200</xdr:colOff>
                    <xdr:row>72</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48" r:id="rId49" name="Check Box 200">
              <controlPr defaultSize="0" autoFill="0" autoLine="0" autoPict="0" macro="[0]!CheckBox200_Click" altText="">
                <anchor moveWithCells="1">
                  <from>
                    <xdr:col>4</xdr:col>
                    <xdr:colOff>76200</xdr:colOff>
                    <xdr:row>73</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49" r:id="rId50" name="Check Box 201">
              <controlPr defaultSize="0" autoFill="0" autoLine="0" autoPict="0" macro="[0]!CheckBox201_Click" altText="">
                <anchor moveWithCells="1">
                  <from>
                    <xdr:col>5</xdr:col>
                    <xdr:colOff>76200</xdr:colOff>
                    <xdr:row>73</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0" r:id="rId51" name="Check Box 202">
              <controlPr defaultSize="0" autoFill="0" autoLine="0" autoPict="0" macro="[0]!CheckBox202_Click" altText="">
                <anchor moveWithCells="1">
                  <from>
                    <xdr:col>4</xdr:col>
                    <xdr:colOff>76200</xdr:colOff>
                    <xdr:row>74</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51" r:id="rId52" name="Check Box 203">
              <controlPr defaultSize="0" autoFill="0" autoLine="0" autoPict="0" macro="[0]!CheckBox203_Click" altText="">
                <anchor moveWithCells="1">
                  <from>
                    <xdr:col>5</xdr:col>
                    <xdr:colOff>76200</xdr:colOff>
                    <xdr:row>74</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2" r:id="rId53" name="Check Box 204">
              <controlPr defaultSize="0" autoFill="0" autoLine="0" autoPict="0" macro="[0]!CheckBox204_Click" altText="">
                <anchor moveWithCells="1">
                  <from>
                    <xdr:col>4</xdr:col>
                    <xdr:colOff>76200</xdr:colOff>
                    <xdr:row>75</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53" r:id="rId54" name="Check Box 205">
              <controlPr defaultSize="0" autoFill="0" autoLine="0" autoPict="0" macro="[0]!CheckBox205_Click" altText="">
                <anchor moveWithCells="1">
                  <from>
                    <xdr:col>5</xdr:col>
                    <xdr:colOff>76200</xdr:colOff>
                    <xdr:row>75</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4" r:id="rId55" name="Check Box 206">
              <controlPr defaultSize="0" autoFill="0" autoLine="0" autoPict="0" macro="[0]!CheckBox206_Click" altText="">
                <anchor moveWithCells="1">
                  <from>
                    <xdr:col>11</xdr:col>
                    <xdr:colOff>76200</xdr:colOff>
                    <xdr:row>72</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5" r:id="rId56" name="Check Box 207">
              <controlPr defaultSize="0" autoFill="0" autoLine="0" autoPict="0" macro="[0]!CheckBox207_Click" altText="">
                <anchor moveWithCells="1">
                  <from>
                    <xdr:col>12</xdr:col>
                    <xdr:colOff>76200</xdr:colOff>
                    <xdr:row>72</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56" r:id="rId57" name="Check Box 208">
              <controlPr defaultSize="0" autoFill="0" autoLine="0" autoPict="0" macro="[0]!CheckBox208_Click" altText="">
                <anchor moveWithCells="1">
                  <from>
                    <xdr:col>11</xdr:col>
                    <xdr:colOff>76200</xdr:colOff>
                    <xdr:row>73</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7" r:id="rId58" name="Check Box 209">
              <controlPr defaultSize="0" autoFill="0" autoLine="0" autoPict="0" macro="[0]!CheckBox209_Click" altText="">
                <anchor moveWithCells="1">
                  <from>
                    <xdr:col>12</xdr:col>
                    <xdr:colOff>76200</xdr:colOff>
                    <xdr:row>73</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58" r:id="rId59" name="Check Box 210">
              <controlPr defaultSize="0" autoFill="0" autoLine="0" autoPict="0" macro="[0]!CheckBox210_Click" altText="">
                <anchor moveWithCells="1">
                  <from>
                    <xdr:col>11</xdr:col>
                    <xdr:colOff>76200</xdr:colOff>
                    <xdr:row>74</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9" r:id="rId60" name="Check Box 211">
              <controlPr defaultSize="0" autoFill="0" autoLine="0" autoPict="0" macro="[0]!CheckBox211_Click" altText="">
                <anchor moveWithCells="1">
                  <from>
                    <xdr:col>12</xdr:col>
                    <xdr:colOff>76200</xdr:colOff>
                    <xdr:row>74</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60" r:id="rId61" name="Check Box 212">
              <controlPr defaultSize="0" autoFill="0" autoLine="0" autoPict="0" macro="[0]!CheckBox212_Click" altText="">
                <anchor moveWithCells="1">
                  <from>
                    <xdr:col>11</xdr:col>
                    <xdr:colOff>76200</xdr:colOff>
                    <xdr:row>75</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61" r:id="rId62" name="Check Box 213">
              <controlPr defaultSize="0" autoFill="0" autoLine="0" autoPict="0" macro="[0]!CheckBox213_Click" altText="">
                <anchor moveWithCells="1">
                  <from>
                    <xdr:col>12</xdr:col>
                    <xdr:colOff>76200</xdr:colOff>
                    <xdr:row>75</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62" r:id="rId63" name="Check Box 214">
              <controlPr defaultSize="0" autoFill="0" autoLine="0" autoPict="0" macro="[0]!CheckBox214_Click" altText="">
                <anchor moveWithCells="1">
                  <from>
                    <xdr:col>18</xdr:col>
                    <xdr:colOff>76200</xdr:colOff>
                    <xdr:row>72</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3" r:id="rId64" name="Check Box 215">
              <controlPr defaultSize="0" autoFill="0" autoLine="0" autoPict="0" macro="[0]!CheckBox215_Click" altText="">
                <anchor moveWithCells="1">
                  <from>
                    <xdr:col>19</xdr:col>
                    <xdr:colOff>76200</xdr:colOff>
                    <xdr:row>72</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4" r:id="rId65" name="Check Box 216">
              <controlPr defaultSize="0" autoFill="0" autoLine="0" autoPict="0" macro="[0]!CheckBox216_Click" altText="">
                <anchor moveWithCells="1">
                  <from>
                    <xdr:col>18</xdr:col>
                    <xdr:colOff>76200</xdr:colOff>
                    <xdr:row>73</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5" r:id="rId66" name="Check Box 217">
              <controlPr defaultSize="0" autoFill="0" autoLine="0" autoPict="0" macro="[0]!CheckBox217_Click" altText="">
                <anchor moveWithCells="1">
                  <from>
                    <xdr:col>19</xdr:col>
                    <xdr:colOff>76200</xdr:colOff>
                    <xdr:row>73</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6" r:id="rId67" name="Check Box 218">
              <controlPr defaultSize="0" autoFill="0" autoLine="0" autoPict="0" macro="[0]!CheckBox218_Click" altText="">
                <anchor moveWithCells="1">
                  <from>
                    <xdr:col>18</xdr:col>
                    <xdr:colOff>76200</xdr:colOff>
                    <xdr:row>74</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7" r:id="rId68" name="Check Box 219">
              <controlPr defaultSize="0" autoFill="0" autoLine="0" autoPict="0" macro="[0]!CheckBox219_Click" altText="">
                <anchor moveWithCells="1">
                  <from>
                    <xdr:col>19</xdr:col>
                    <xdr:colOff>76200</xdr:colOff>
                    <xdr:row>74</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8" r:id="rId69" name="Check Box 14">
              <controlPr defaultSize="0" autoFill="0" autoLine="0" autoPict="0" macro="[0]!CheckBox14_Click" altText="">
                <anchor moveWithCells="1">
                  <from>
                    <xdr:col>0</xdr:col>
                    <xdr:colOff>66675</xdr:colOff>
                    <xdr:row>13</xdr:row>
                    <xdr:rowOff>9525</xdr:rowOff>
                  </from>
                  <to>
                    <xdr:col>0</xdr:col>
                    <xdr:colOff>361950</xdr:colOff>
                    <xdr:row>13</xdr:row>
                    <xdr:rowOff>161925</xdr:rowOff>
                  </to>
                </anchor>
              </controlPr>
            </control>
          </mc:Choice>
        </mc:AlternateContent>
        <mc:AlternateContent xmlns:mc="http://schemas.openxmlformats.org/markup-compatibility/2006">
          <mc:Choice Requires="x14">
            <control shapeId="2279" r:id="rId70" name="Check Box 15">
              <controlPr defaultSize="0" autoFill="0" autoLine="0" autoPict="0" macro="[0]!CheckBox15_Click" altText="">
                <anchor moveWithCells="1">
                  <from>
                    <xdr:col>0</xdr:col>
                    <xdr:colOff>66675</xdr:colOff>
                    <xdr:row>14</xdr:row>
                    <xdr:rowOff>9525</xdr:rowOff>
                  </from>
                  <to>
                    <xdr:col>0</xdr:col>
                    <xdr:colOff>361950</xdr:colOff>
                    <xdr:row>14</xdr:row>
                    <xdr:rowOff>161925</xdr:rowOff>
                  </to>
                </anchor>
              </controlPr>
            </control>
          </mc:Choice>
        </mc:AlternateContent>
        <mc:AlternateContent xmlns:mc="http://schemas.openxmlformats.org/markup-compatibility/2006">
          <mc:Choice Requires="x14">
            <control shapeId="2280" r:id="rId71" name="Check Box 16">
              <controlPr defaultSize="0" autoFill="0" autoLine="0" autoPict="0" macro="[0]!CheckBox16_Click" altText="">
                <anchor moveWithCells="1">
                  <from>
                    <xdr:col>0</xdr:col>
                    <xdr:colOff>66675</xdr:colOff>
                    <xdr:row>15</xdr:row>
                    <xdr:rowOff>9525</xdr:rowOff>
                  </from>
                  <to>
                    <xdr:col>0</xdr:col>
                    <xdr:colOff>361950</xdr:colOff>
                    <xdr:row>15</xdr:row>
                    <xdr:rowOff>161925</xdr:rowOff>
                  </to>
                </anchor>
              </controlPr>
            </control>
          </mc:Choice>
        </mc:AlternateContent>
        <mc:AlternateContent xmlns:mc="http://schemas.openxmlformats.org/markup-compatibility/2006">
          <mc:Choice Requires="x14">
            <control shapeId="2281" r:id="rId72" name="Check Box 17">
              <controlPr defaultSize="0" autoFill="0" autoLine="0" autoPict="0" macro="[0]!CheckBox17_Click" altText="">
                <anchor moveWithCells="1">
                  <from>
                    <xdr:col>0</xdr:col>
                    <xdr:colOff>66675</xdr:colOff>
                    <xdr:row>16</xdr:row>
                    <xdr:rowOff>9525</xdr:rowOff>
                  </from>
                  <to>
                    <xdr:col>0</xdr:col>
                    <xdr:colOff>361950</xdr:colOff>
                    <xdr:row>16</xdr:row>
                    <xdr:rowOff>161925</xdr:rowOff>
                  </to>
                </anchor>
              </controlPr>
            </control>
          </mc:Choice>
        </mc:AlternateContent>
        <mc:AlternateContent xmlns:mc="http://schemas.openxmlformats.org/markup-compatibility/2006">
          <mc:Choice Requires="x14">
            <control shapeId="2282" r:id="rId73" name="Check Box 18">
              <controlPr defaultSize="0" autoFill="0" autoLine="0" autoPict="0" macro="[0]!CheckBox18_Click" altText="">
                <anchor moveWithCells="1">
                  <from>
                    <xdr:col>0</xdr:col>
                    <xdr:colOff>66675</xdr:colOff>
                    <xdr:row>17</xdr:row>
                    <xdr:rowOff>9525</xdr:rowOff>
                  </from>
                  <to>
                    <xdr:col>0</xdr:col>
                    <xdr:colOff>361950</xdr:colOff>
                    <xdr:row>18</xdr:row>
                    <xdr:rowOff>152400</xdr:rowOff>
                  </to>
                </anchor>
              </controlPr>
            </control>
          </mc:Choice>
        </mc:AlternateContent>
        <mc:AlternateContent xmlns:mc="http://schemas.openxmlformats.org/markup-compatibility/2006">
          <mc:Choice Requires="x14">
            <control shapeId="2283" r:id="rId74" name="Check Box 20">
              <controlPr defaultSize="0" autoFill="0" autoLine="0" autoPict="0" macro="[0]!CheckBox20_Click" altText="">
                <anchor moveWithCells="1">
                  <from>
                    <xdr:col>0</xdr:col>
                    <xdr:colOff>66675</xdr:colOff>
                    <xdr:row>19</xdr:row>
                    <xdr:rowOff>9525</xdr:rowOff>
                  </from>
                  <to>
                    <xdr:col>0</xdr:col>
                    <xdr:colOff>361950</xdr:colOff>
                    <xdr:row>20</xdr:row>
                    <xdr:rowOff>0</xdr:rowOff>
                  </to>
                </anchor>
              </controlPr>
            </control>
          </mc:Choice>
        </mc:AlternateContent>
        <mc:AlternateContent xmlns:mc="http://schemas.openxmlformats.org/markup-compatibility/2006">
          <mc:Choice Requires="x14">
            <control shapeId="2284" r:id="rId75" name="Check Box 21">
              <controlPr defaultSize="0" autoFill="0" autoLine="0" autoPict="0" macro="[0]!CheckBox21_Click" altText="">
                <anchor moveWithCells="1">
                  <from>
                    <xdr:col>0</xdr:col>
                    <xdr:colOff>66675</xdr:colOff>
                    <xdr:row>20</xdr:row>
                    <xdr:rowOff>9525</xdr:rowOff>
                  </from>
                  <to>
                    <xdr:col>0</xdr:col>
                    <xdr:colOff>361950</xdr:colOff>
                    <xdr:row>20</xdr:row>
                    <xdr:rowOff>161925</xdr:rowOff>
                  </to>
                </anchor>
              </controlPr>
            </control>
          </mc:Choice>
        </mc:AlternateContent>
        <mc:AlternateContent xmlns:mc="http://schemas.openxmlformats.org/markup-compatibility/2006">
          <mc:Choice Requires="x14">
            <control shapeId="2285" r:id="rId76" name="Check Box 22">
              <controlPr defaultSize="0" autoFill="0" autoLine="0" autoPict="0" macro="[0]!CheckBox22_Click" altText="">
                <anchor moveWithCells="1">
                  <from>
                    <xdr:col>0</xdr:col>
                    <xdr:colOff>66675</xdr:colOff>
                    <xdr:row>21</xdr:row>
                    <xdr:rowOff>9525</xdr:rowOff>
                  </from>
                  <to>
                    <xdr:col>0</xdr:col>
                    <xdr:colOff>361950</xdr:colOff>
                    <xdr:row>22</xdr:row>
                    <xdr:rowOff>0</xdr:rowOff>
                  </to>
                </anchor>
              </controlPr>
            </control>
          </mc:Choice>
        </mc:AlternateContent>
        <mc:AlternateContent xmlns:mc="http://schemas.openxmlformats.org/markup-compatibility/2006">
          <mc:Choice Requires="x14">
            <control shapeId="2286" r:id="rId77" name="Check Box 23">
              <controlPr defaultSize="0" autoFill="0" autoLine="0" autoPict="0" macro="[0]!CheckBox23_Click" altText="">
                <anchor moveWithCells="1">
                  <from>
                    <xdr:col>0</xdr:col>
                    <xdr:colOff>66675</xdr:colOff>
                    <xdr:row>22</xdr:row>
                    <xdr:rowOff>9525</xdr:rowOff>
                  </from>
                  <to>
                    <xdr:col>0</xdr:col>
                    <xdr:colOff>361950</xdr:colOff>
                    <xdr:row>22</xdr:row>
                    <xdr:rowOff>161925</xdr:rowOff>
                  </to>
                </anchor>
              </controlPr>
            </control>
          </mc:Choice>
        </mc:AlternateContent>
        <mc:AlternateContent xmlns:mc="http://schemas.openxmlformats.org/markup-compatibility/2006">
          <mc:Choice Requires="x14">
            <control shapeId="2287" r:id="rId78" name="Check Box 24">
              <controlPr defaultSize="0" autoFill="0" autoLine="0" autoPict="0" macro="[0]!CheckBox24_Click" altText="">
                <anchor moveWithCells="1">
                  <from>
                    <xdr:col>0</xdr:col>
                    <xdr:colOff>66675</xdr:colOff>
                    <xdr:row>23</xdr:row>
                    <xdr:rowOff>9525</xdr:rowOff>
                  </from>
                  <to>
                    <xdr:col>0</xdr:col>
                    <xdr:colOff>361950</xdr:colOff>
                    <xdr:row>23</xdr:row>
                    <xdr:rowOff>161925</xdr:rowOff>
                  </to>
                </anchor>
              </controlPr>
            </control>
          </mc:Choice>
        </mc:AlternateContent>
        <mc:AlternateContent xmlns:mc="http://schemas.openxmlformats.org/markup-compatibility/2006">
          <mc:Choice Requires="x14">
            <control shapeId="2288" r:id="rId79" name="Check Box 25">
              <controlPr defaultSize="0" autoFill="0" autoLine="0" autoPict="0" macro="[0]!CheckBox25_Click" altText="">
                <anchor moveWithCells="1">
                  <from>
                    <xdr:col>0</xdr:col>
                    <xdr:colOff>66675</xdr:colOff>
                    <xdr:row>24</xdr:row>
                    <xdr:rowOff>9525</xdr:rowOff>
                  </from>
                  <to>
                    <xdr:col>0</xdr:col>
                    <xdr:colOff>361950</xdr:colOff>
                    <xdr:row>25</xdr:row>
                    <xdr:rowOff>0</xdr:rowOff>
                  </to>
                </anchor>
              </controlPr>
            </control>
          </mc:Choice>
        </mc:AlternateContent>
        <mc:AlternateContent xmlns:mc="http://schemas.openxmlformats.org/markup-compatibility/2006">
          <mc:Choice Requires="x14">
            <control shapeId="2289" r:id="rId80" name="Check Box 26">
              <controlPr defaultSize="0" autoFill="0" autoLine="0" autoPict="0" macro="[0]!CheckBox26_Click" altText="">
                <anchor moveWithCells="1">
                  <from>
                    <xdr:col>0</xdr:col>
                    <xdr:colOff>66675</xdr:colOff>
                    <xdr:row>25</xdr:row>
                    <xdr:rowOff>9525</xdr:rowOff>
                  </from>
                  <to>
                    <xdr:col>0</xdr:col>
                    <xdr:colOff>361950</xdr:colOff>
                    <xdr:row>25</xdr:row>
                    <xdr:rowOff>161925</xdr:rowOff>
                  </to>
                </anchor>
              </controlPr>
            </control>
          </mc:Choice>
        </mc:AlternateContent>
        <mc:AlternateContent xmlns:mc="http://schemas.openxmlformats.org/markup-compatibility/2006">
          <mc:Choice Requires="x14">
            <control shapeId="2290" r:id="rId81" name="Check Box 27">
              <controlPr defaultSize="0" autoFill="0" autoLine="0" autoPict="0" macro="[0]!CheckBox27_Click" altText="">
                <anchor moveWithCells="1">
                  <from>
                    <xdr:col>0</xdr:col>
                    <xdr:colOff>66675</xdr:colOff>
                    <xdr:row>26</xdr:row>
                    <xdr:rowOff>9525</xdr:rowOff>
                  </from>
                  <to>
                    <xdr:col>0</xdr:col>
                    <xdr:colOff>361950</xdr:colOff>
                    <xdr:row>26</xdr:row>
                    <xdr:rowOff>161925</xdr:rowOff>
                  </to>
                </anchor>
              </controlPr>
            </control>
          </mc:Choice>
        </mc:AlternateContent>
        <mc:AlternateContent xmlns:mc="http://schemas.openxmlformats.org/markup-compatibility/2006">
          <mc:Choice Requires="x14">
            <control shapeId="2291" r:id="rId82" name="Check Box 28">
              <controlPr defaultSize="0" autoFill="0" autoLine="0" autoPict="0" macro="[0]!CheckBox28_Click" altText="">
                <anchor moveWithCells="1">
                  <from>
                    <xdr:col>0</xdr:col>
                    <xdr:colOff>66675</xdr:colOff>
                    <xdr:row>27</xdr:row>
                    <xdr:rowOff>9525</xdr:rowOff>
                  </from>
                  <to>
                    <xdr:col>0</xdr:col>
                    <xdr:colOff>361950</xdr:colOff>
                    <xdr:row>28</xdr:row>
                    <xdr:rowOff>0</xdr:rowOff>
                  </to>
                </anchor>
              </controlPr>
            </control>
          </mc:Choice>
        </mc:AlternateContent>
        <mc:AlternateContent xmlns:mc="http://schemas.openxmlformats.org/markup-compatibility/2006">
          <mc:Choice Requires="x14">
            <control shapeId="2292" r:id="rId83" name="Check Box 29">
              <controlPr defaultSize="0" autoFill="0" autoLine="0" autoPict="0" macro="[0]!CheckBox29_Click" altText="">
                <anchor moveWithCells="1">
                  <from>
                    <xdr:col>0</xdr:col>
                    <xdr:colOff>66675</xdr:colOff>
                    <xdr:row>28</xdr:row>
                    <xdr:rowOff>9525</xdr:rowOff>
                  </from>
                  <to>
                    <xdr:col>0</xdr:col>
                    <xdr:colOff>361950</xdr:colOff>
                    <xdr:row>28</xdr:row>
                    <xdr:rowOff>161925</xdr:rowOff>
                  </to>
                </anchor>
              </controlPr>
            </control>
          </mc:Choice>
        </mc:AlternateContent>
        <mc:AlternateContent xmlns:mc="http://schemas.openxmlformats.org/markup-compatibility/2006">
          <mc:Choice Requires="x14">
            <control shapeId="2293" r:id="rId84" name="Check Box 30">
              <controlPr defaultSize="0" autoFill="0" autoLine="0" autoPict="0" macro="[0]!CheckBox30_Click" altText="">
                <anchor moveWithCells="1">
                  <from>
                    <xdr:col>0</xdr:col>
                    <xdr:colOff>66675</xdr:colOff>
                    <xdr:row>29</xdr:row>
                    <xdr:rowOff>9525</xdr:rowOff>
                  </from>
                  <to>
                    <xdr:col>0</xdr:col>
                    <xdr:colOff>361950</xdr:colOff>
                    <xdr:row>29</xdr:row>
                    <xdr:rowOff>161925</xdr:rowOff>
                  </to>
                </anchor>
              </controlPr>
            </control>
          </mc:Choice>
        </mc:AlternateContent>
        <mc:AlternateContent xmlns:mc="http://schemas.openxmlformats.org/markup-compatibility/2006">
          <mc:Choice Requires="x14">
            <control shapeId="2302" r:id="rId85" name="Button 254">
              <controlPr defaultSize="0" print="0" autoFill="0" autoPict="0" macro="[0]!Buttons.Pass_POV">
                <anchor moveWithCells="1" sizeWithCells="1">
                  <from>
                    <xdr:col>22</xdr:col>
                    <xdr:colOff>447675</xdr:colOff>
                    <xdr:row>89</xdr:row>
                    <xdr:rowOff>76200</xdr:rowOff>
                  </from>
                  <to>
                    <xdr:col>24</xdr:col>
                    <xdr:colOff>257175</xdr:colOff>
                    <xdr:row>90</xdr:row>
                    <xdr:rowOff>142875</xdr:rowOff>
                  </to>
                </anchor>
              </controlPr>
            </control>
          </mc:Choice>
        </mc:AlternateContent>
        <mc:AlternateContent xmlns:mc="http://schemas.openxmlformats.org/markup-compatibility/2006">
          <mc:Choice Requires="x14">
            <control shapeId="2304" r:id="rId86" name="Check Box 255">
              <controlPr defaultSize="0" print="0" autoFill="0" autoLine="0" autoPict="0" altText="Check this box if the Marine currently logged on is NOT the requesting Marine.">
                <anchor moveWithCells="1">
                  <from>
                    <xdr:col>5</xdr:col>
                    <xdr:colOff>9525</xdr:colOff>
                    <xdr:row>76</xdr:row>
                    <xdr:rowOff>66675</xdr:rowOff>
                  </from>
                  <to>
                    <xdr:col>10</xdr:col>
                    <xdr:colOff>142875</xdr:colOff>
                    <xdr:row>78</xdr:row>
                    <xdr:rowOff>104775</xdr:rowOff>
                  </to>
                </anchor>
              </controlPr>
            </control>
          </mc:Choice>
        </mc:AlternateContent>
        <mc:AlternateContent xmlns:mc="http://schemas.openxmlformats.org/markup-compatibility/2006">
          <mc:Choice Requires="x14">
            <control shapeId="2309" r:id="rId87" name="Button 261">
              <controlPr defaultSize="0" print="0" autoFill="0" autoPict="0" macro="[0]!Super_Signature">
                <anchor moveWithCells="1" sizeWithCells="1">
                  <from>
                    <xdr:col>8</xdr:col>
                    <xdr:colOff>209550</xdr:colOff>
                    <xdr:row>80</xdr:row>
                    <xdr:rowOff>57150</xdr:rowOff>
                  </from>
                  <to>
                    <xdr:col>11</xdr:col>
                    <xdr:colOff>171450</xdr:colOff>
                    <xdr:row>82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8"/>
  <sheetViews>
    <sheetView workbookViewId="0">
      <selection activeCell="B22" sqref="B22:K37"/>
    </sheetView>
  </sheetViews>
  <sheetFormatPr defaultColWidth="9.140625" defaultRowHeight="15" x14ac:dyDescent="0.25"/>
  <cols>
    <col min="1" max="1" width="9.140625" style="2"/>
    <col min="2" max="2" width="12.28515625" style="2" customWidth="1"/>
    <col min="3" max="16384" width="9.140625" style="2"/>
  </cols>
  <sheetData>
    <row r="1" spans="1:17" ht="22.5" customHeight="1" x14ac:dyDescent="0.25">
      <c r="A1" s="368"/>
      <c r="B1" s="368"/>
      <c r="C1" s="368"/>
      <c r="D1" s="359" t="str">
        <f>DevMode!K45</f>
        <v xml:space="preserve"> 8TH COMMUNICATION BATTALION</v>
      </c>
      <c r="E1" s="360"/>
      <c r="F1" s="360"/>
      <c r="G1" s="360"/>
      <c r="H1" s="360"/>
      <c r="I1" s="360"/>
      <c r="J1" s="3"/>
    </row>
    <row r="2" spans="1:17" ht="22.5" customHeight="1" x14ac:dyDescent="0.25">
      <c r="A2" s="368"/>
      <c r="B2" s="368"/>
      <c r="C2" s="368"/>
      <c r="D2" s="360"/>
      <c r="E2" s="360"/>
      <c r="F2" s="360"/>
      <c r="G2" s="360"/>
      <c r="H2" s="360"/>
      <c r="I2" s="360"/>
    </row>
    <row r="3" spans="1:17" ht="22.5" customHeight="1" x14ac:dyDescent="0.25">
      <c r="A3" s="368"/>
      <c r="B3" s="368"/>
      <c r="C3" s="368"/>
      <c r="F3" s="43"/>
      <c r="G3" s="43"/>
      <c r="Q3" s="4"/>
    </row>
    <row r="4" spans="1:17" ht="15.75" customHeight="1" x14ac:dyDescent="0.25">
      <c r="A4" s="368"/>
      <c r="B4" s="368"/>
      <c r="C4" s="368"/>
    </row>
    <row r="5" spans="1:17" ht="15.75" customHeight="1" x14ac:dyDescent="0.25">
      <c r="A5" s="368"/>
      <c r="B5" s="368"/>
      <c r="C5" s="368"/>
    </row>
    <row r="6" spans="1:17" ht="15.75" customHeight="1" x14ac:dyDescent="0.25">
      <c r="A6" s="368"/>
      <c r="B6" s="368"/>
      <c r="C6" s="368"/>
    </row>
    <row r="7" spans="1:17" ht="15.75" customHeight="1" x14ac:dyDescent="0.25">
      <c r="A7" s="368"/>
      <c r="B7" s="368"/>
      <c r="C7" s="368"/>
    </row>
    <row r="8" spans="1:17" ht="15.75" x14ac:dyDescent="0.25">
      <c r="B8" s="5"/>
    </row>
    <row r="9" spans="1:17" ht="15.75" x14ac:dyDescent="0.25">
      <c r="B9" s="6" t="s">
        <v>39</v>
      </c>
      <c r="C9" s="361" t="str">
        <f>IF('Risk Mitigation Form'!F4="", "", 'Risk Mitigation Form'!F4)</f>
        <v/>
      </c>
      <c r="D9" s="362"/>
      <c r="E9" s="6" t="s">
        <v>40</v>
      </c>
      <c r="F9" s="361" t="str">
        <f>IF('Risk Mitigation Form'!A4="", "", LEFT('Risk Mitigation Form'!A4, SUM(FIND(",", 'Risk Mitigation Form'!A4)-1)))</f>
        <v/>
      </c>
      <c r="G9" s="362"/>
      <c r="H9" s="6" t="s">
        <v>41</v>
      </c>
      <c r="I9" s="361" t="str">
        <f>IF('Risk Mitigation Form'!A4="", "", IF(ISERROR(FIND(" ",'Risk Mitigation Form'!A4,SUM(FIND(" ",'Risk Mitigation Form'!A4),1))), RIGHT(LEFT('Risk Mitigation Form'!A4,LEN('Risk Mitigation Form'!A4)), LEN('Risk Mitigation Form'!A4)-SUM(FIND(" ",'Risk Mitigation Form'!A4))), RIGHT(LEFT('Risk Mitigation Form'!A4,FIND(" ", 'Risk Mitigation Form'!A4, SUM(FIND(" ", 'Risk Mitigation Form'!A4),1))), SUM(FIND(" ", 'Risk Mitigation Form'!A4, SUM(FIND(" ", 'Risk Mitigation Form'!A4),1)), -SUM(FIND(" ",'Risk Mitigation Form'!A4))))))</f>
        <v/>
      </c>
      <c r="J9" s="362"/>
      <c r="K9" s="7" t="s">
        <v>42</v>
      </c>
      <c r="L9" s="68" t="str">
        <f>IF('Risk Mitigation Form'!A4="","",IF(ISERROR(FIND(".",'Risk Mitigation Form'!A4)),IF(ISERROR(FIND(" ",'Risk Mitigation Form'!A4,SUM(FIND(" ",'Risk Mitigation Form'!A4),1)))," ",RIGHT('Risk Mitigation Form'!A4,1)),RIGHT('Risk Mitigation Form'!A4,2)))</f>
        <v/>
      </c>
    </row>
    <row r="10" spans="1:17" ht="15.75" x14ac:dyDescent="0.25">
      <c r="B10" s="5"/>
    </row>
    <row r="11" spans="1:17" ht="15.75" customHeight="1" x14ac:dyDescent="0.25">
      <c r="B11" s="363" t="s">
        <v>43</v>
      </c>
      <c r="C11" s="363"/>
      <c r="D11" s="363"/>
      <c r="G11" s="363" t="s">
        <v>285</v>
      </c>
      <c r="H11" s="363"/>
      <c r="I11" s="363"/>
      <c r="J11" s="363"/>
      <c r="K11" s="363"/>
    </row>
    <row r="12" spans="1:17" ht="15.75" customHeight="1" x14ac:dyDescent="0.25">
      <c r="B12" s="5"/>
    </row>
    <row r="13" spans="1:17" ht="15.75" x14ac:dyDescent="0.25">
      <c r="B13" s="5" t="s">
        <v>44</v>
      </c>
      <c r="C13" s="364" t="str">
        <f>IF(OR('Risk Mitigation Form'!L7="", 'Risk Mitigation Form'!L8=""), "", 'Risk Mitigation Form'!L8&amp;" at "&amp;'Risk Mitigation Form'!L7)</f>
        <v/>
      </c>
      <c r="D13" s="362"/>
      <c r="G13" s="365"/>
      <c r="H13" s="366"/>
      <c r="I13" s="366"/>
      <c r="J13" s="366"/>
      <c r="K13" s="366"/>
    </row>
    <row r="14" spans="1:17" x14ac:dyDescent="0.25">
      <c r="G14" s="367"/>
      <c r="H14" s="367"/>
      <c r="I14" s="367"/>
      <c r="J14" s="367"/>
      <c r="K14" s="367"/>
    </row>
    <row r="15" spans="1:17" ht="15.75" x14ac:dyDescent="0.25">
      <c r="B15" s="5" t="s">
        <v>45</v>
      </c>
      <c r="C15" s="364" t="str">
        <f>IF(OR('Risk Mitigation Form'!P7="", 'Risk Mitigation Form'!P8=""), "", 'Risk Mitigation Form'!P8&amp;" at "&amp;'Risk Mitigation Form'!P7)</f>
        <v/>
      </c>
      <c r="D15" s="362"/>
      <c r="G15" s="361" t="str">
        <f>IF(AND('Risk Mitigation Form'!A7="", 'Risk Mitigation Form'!A8=""), "", 'Risk Mitigation Form'!A7&amp;" "&amp;'Risk Mitigation Form'!A8)</f>
        <v/>
      </c>
      <c r="H15" s="362"/>
      <c r="I15" s="362"/>
      <c r="J15" s="362"/>
      <c r="K15" s="362"/>
    </row>
    <row r="16" spans="1:17" x14ac:dyDescent="0.25">
      <c r="G16" s="358"/>
      <c r="H16" s="358"/>
      <c r="I16" s="358"/>
      <c r="J16" s="358"/>
      <c r="K16" s="358"/>
    </row>
    <row r="17" spans="1:13" ht="15.75" x14ac:dyDescent="0.25">
      <c r="B17" s="5"/>
    </row>
    <row r="18" spans="1:13" ht="15.75" x14ac:dyDescent="0.25">
      <c r="B18" s="5"/>
    </row>
    <row r="19" spans="1:13" ht="26.25" x14ac:dyDescent="0.25">
      <c r="B19" s="369" t="str">
        <f>"MEANS OF TRAVEL: "&amp;'Risk Mitigation Form'!H10</f>
        <v xml:space="preserve">MEANS OF TRAVEL: </v>
      </c>
      <c r="C19" s="369"/>
      <c r="D19" s="369"/>
      <c r="E19" s="369"/>
      <c r="F19" s="369"/>
      <c r="G19" s="369"/>
      <c r="H19" s="369"/>
      <c r="I19" s="369"/>
      <c r="J19" s="369"/>
      <c r="K19" s="369"/>
      <c r="L19" s="8"/>
      <c r="M19" s="8"/>
    </row>
    <row r="20" spans="1:13" ht="26.25" x14ac:dyDescent="0.25">
      <c r="B20" s="9"/>
    </row>
    <row r="21" spans="1:13" ht="26.25" x14ac:dyDescent="0.25">
      <c r="B21" s="370" t="s">
        <v>46</v>
      </c>
      <c r="C21" s="370"/>
      <c r="D21" s="370"/>
      <c r="E21" s="370"/>
      <c r="F21" s="370"/>
      <c r="G21" s="370"/>
      <c r="H21" s="370"/>
      <c r="I21" s="370"/>
      <c r="J21" s="370"/>
      <c r="K21" s="370"/>
      <c r="L21" s="10"/>
      <c r="M21" s="10"/>
    </row>
    <row r="22" spans="1:13" ht="26.25" x14ac:dyDescent="0.25">
      <c r="A22" s="9"/>
      <c r="B22" s="371"/>
      <c r="C22" s="372"/>
      <c r="D22" s="372"/>
      <c r="E22" s="372"/>
      <c r="F22" s="372"/>
      <c r="G22" s="372"/>
      <c r="H22" s="372"/>
      <c r="I22" s="372"/>
      <c r="J22" s="372"/>
      <c r="K22" s="372"/>
    </row>
    <row r="23" spans="1:13" ht="26.25" x14ac:dyDescent="0.25">
      <c r="A23" s="9"/>
      <c r="B23" s="372"/>
      <c r="C23" s="372"/>
      <c r="D23" s="372"/>
      <c r="E23" s="372"/>
      <c r="F23" s="372"/>
      <c r="G23" s="372"/>
      <c r="H23" s="372"/>
      <c r="I23" s="372"/>
      <c r="J23" s="372"/>
      <c r="K23" s="372"/>
    </row>
    <row r="24" spans="1:13" ht="26.25" x14ac:dyDescent="0.25">
      <c r="A24" s="9"/>
      <c r="B24" s="372"/>
      <c r="C24" s="372"/>
      <c r="D24" s="372"/>
      <c r="E24" s="372"/>
      <c r="F24" s="372"/>
      <c r="G24" s="372"/>
      <c r="H24" s="372"/>
      <c r="I24" s="372"/>
      <c r="J24" s="372"/>
      <c r="K24" s="372"/>
    </row>
    <row r="25" spans="1:13" ht="26.25" x14ac:dyDescent="0.25">
      <c r="A25" s="9"/>
      <c r="B25" s="372"/>
      <c r="C25" s="372"/>
      <c r="D25" s="372"/>
      <c r="E25" s="372"/>
      <c r="F25" s="372"/>
      <c r="G25" s="372"/>
      <c r="H25" s="372"/>
      <c r="I25" s="372"/>
      <c r="J25" s="372"/>
      <c r="K25" s="372"/>
    </row>
    <row r="26" spans="1:13" ht="26.25" x14ac:dyDescent="0.25">
      <c r="A26" s="9"/>
      <c r="B26" s="372"/>
      <c r="C26" s="372"/>
      <c r="D26" s="372"/>
      <c r="E26" s="372"/>
      <c r="F26" s="372"/>
      <c r="G26" s="372"/>
      <c r="H26" s="372"/>
      <c r="I26" s="372"/>
      <c r="J26" s="372"/>
      <c r="K26" s="372"/>
    </row>
    <row r="27" spans="1:13" ht="26.25" x14ac:dyDescent="0.25">
      <c r="A27" s="9"/>
      <c r="B27" s="372"/>
      <c r="C27" s="372"/>
      <c r="D27" s="372"/>
      <c r="E27" s="372"/>
      <c r="F27" s="372"/>
      <c r="G27" s="372"/>
      <c r="H27" s="372"/>
      <c r="I27" s="372"/>
      <c r="J27" s="372"/>
      <c r="K27" s="372"/>
    </row>
    <row r="28" spans="1:13" ht="26.25" x14ac:dyDescent="0.25">
      <c r="A28" s="9"/>
      <c r="B28" s="372"/>
      <c r="C28" s="372"/>
      <c r="D28" s="372"/>
      <c r="E28" s="372"/>
      <c r="F28" s="372"/>
      <c r="G28" s="372"/>
      <c r="H28" s="372"/>
      <c r="I28" s="372"/>
      <c r="J28" s="372"/>
      <c r="K28" s="372"/>
    </row>
    <row r="29" spans="1:13" ht="26.25" x14ac:dyDescent="0.25">
      <c r="A29" s="9"/>
      <c r="B29" s="372"/>
      <c r="C29" s="372"/>
      <c r="D29" s="372"/>
      <c r="E29" s="372"/>
      <c r="F29" s="372"/>
      <c r="G29" s="372"/>
      <c r="H29" s="372"/>
      <c r="I29" s="372"/>
      <c r="J29" s="372"/>
      <c r="K29" s="372"/>
    </row>
    <row r="30" spans="1:13" ht="26.25" x14ac:dyDescent="0.25">
      <c r="A30" s="9"/>
      <c r="B30" s="372"/>
      <c r="C30" s="372"/>
      <c r="D30" s="372"/>
      <c r="E30" s="372"/>
      <c r="F30" s="372"/>
      <c r="G30" s="372"/>
      <c r="H30" s="372"/>
      <c r="I30" s="372"/>
      <c r="J30" s="372"/>
      <c r="K30" s="372"/>
    </row>
    <row r="31" spans="1:13" ht="26.25" x14ac:dyDescent="0.25">
      <c r="A31" s="9"/>
      <c r="B31" s="372"/>
      <c r="C31" s="372"/>
      <c r="D31" s="372"/>
      <c r="E31" s="372"/>
      <c r="F31" s="372"/>
      <c r="G31" s="372"/>
      <c r="H31" s="372"/>
      <c r="I31" s="372"/>
      <c r="J31" s="372"/>
      <c r="K31" s="372"/>
    </row>
    <row r="32" spans="1:13" ht="26.25" x14ac:dyDescent="0.25">
      <c r="A32" s="9"/>
      <c r="B32" s="372"/>
      <c r="C32" s="372"/>
      <c r="D32" s="372"/>
      <c r="E32" s="372"/>
      <c r="F32" s="372"/>
      <c r="G32" s="372"/>
      <c r="H32" s="372"/>
      <c r="I32" s="372"/>
      <c r="J32" s="372"/>
      <c r="K32" s="372"/>
    </row>
    <row r="33" spans="1:11" ht="26.25" x14ac:dyDescent="0.25">
      <c r="A33" s="9"/>
      <c r="B33" s="372"/>
      <c r="C33" s="372"/>
      <c r="D33" s="372"/>
      <c r="E33" s="372"/>
      <c r="F33" s="372"/>
      <c r="G33" s="372"/>
      <c r="H33" s="372"/>
      <c r="I33" s="372"/>
      <c r="J33" s="372"/>
      <c r="K33" s="372"/>
    </row>
    <row r="34" spans="1:11" ht="26.25" x14ac:dyDescent="0.25">
      <c r="A34" s="9"/>
      <c r="B34" s="372"/>
      <c r="C34" s="372"/>
      <c r="D34" s="372"/>
      <c r="E34" s="372"/>
      <c r="F34" s="372"/>
      <c r="G34" s="372"/>
      <c r="H34" s="372"/>
      <c r="I34" s="372"/>
      <c r="J34" s="372"/>
      <c r="K34" s="372"/>
    </row>
    <row r="35" spans="1:11" ht="26.25" x14ac:dyDescent="0.25">
      <c r="A35" s="9"/>
      <c r="B35" s="372"/>
      <c r="C35" s="372"/>
      <c r="D35" s="372"/>
      <c r="E35" s="372"/>
      <c r="F35" s="372"/>
      <c r="G35" s="372"/>
      <c r="H35" s="372"/>
      <c r="I35" s="372"/>
      <c r="J35" s="372"/>
      <c r="K35" s="372"/>
    </row>
    <row r="36" spans="1:11" ht="26.25" x14ac:dyDescent="0.25">
      <c r="A36" s="9"/>
      <c r="B36" s="372"/>
      <c r="C36" s="372"/>
      <c r="D36" s="372"/>
      <c r="E36" s="372"/>
      <c r="F36" s="372"/>
      <c r="G36" s="372"/>
      <c r="H36" s="372"/>
      <c r="I36" s="372"/>
      <c r="J36" s="372"/>
      <c r="K36" s="372"/>
    </row>
    <row r="37" spans="1:11" ht="26.25" x14ac:dyDescent="0.25">
      <c r="A37" s="9"/>
      <c r="B37" s="372"/>
      <c r="C37" s="372"/>
      <c r="D37" s="372"/>
      <c r="E37" s="372"/>
      <c r="F37" s="372"/>
      <c r="G37" s="372"/>
      <c r="H37" s="372"/>
      <c r="I37" s="372"/>
      <c r="J37" s="372"/>
      <c r="K37" s="372"/>
    </row>
    <row r="38" spans="1:11" x14ac:dyDescent="0.25">
      <c r="B38" s="11"/>
      <c r="C38" s="373"/>
      <c r="D38" s="373"/>
      <c r="E38" s="12"/>
      <c r="F38" s="12"/>
      <c r="G38" s="12"/>
      <c r="H38" s="12"/>
      <c r="I38" s="11" t="s">
        <v>47</v>
      </c>
      <c r="J38" s="374" t="str">
        <f>IF('Risk Mitigation Form'!Q4="", "", 'Risk Mitigation Form'!Q4)</f>
        <v/>
      </c>
      <c r="K38" s="374"/>
    </row>
  </sheetData>
  <sheetProtection algorithmName="SHA-512" hashValue="j/trtwYiOfKN25Bt5haoMI0WKVq7H9ACQpPG/MIJxiRoHbUK03RVTl6IY8FnCwZY5MoImYKkZpi+ZYrXeJwnjA==" saltValue="5whjM0LdBzPf2YpC7FkLXg==" spinCount="100000" sheet="1" objects="1" scenarios="1" selectLockedCells="1" sort="0" autoFilter="0"/>
  <mergeCells count="18">
    <mergeCell ref="B19:K19"/>
    <mergeCell ref="B21:K21"/>
    <mergeCell ref="B22:K37"/>
    <mergeCell ref="C38:D38"/>
    <mergeCell ref="J38:K38"/>
    <mergeCell ref="G16:K16"/>
    <mergeCell ref="D1:I2"/>
    <mergeCell ref="C9:D9"/>
    <mergeCell ref="F9:G9"/>
    <mergeCell ref="I9:J9"/>
    <mergeCell ref="B11:D11"/>
    <mergeCell ref="G11:K11"/>
    <mergeCell ref="C13:D13"/>
    <mergeCell ref="G13:K13"/>
    <mergeCell ref="G14:K14"/>
    <mergeCell ref="C15:D15"/>
    <mergeCell ref="G15:K15"/>
    <mergeCell ref="A1:C7"/>
  </mergeCells>
  <conditionalFormatting sqref="G13:K13">
    <cfRule type="expression" dxfId="14" priority="6">
      <formula>$G$13=""</formula>
    </cfRule>
  </conditionalFormatting>
  <conditionalFormatting sqref="B22:K37">
    <cfRule type="expression" dxfId="13" priority="5">
      <formula>$B$22=""</formula>
    </cfRule>
  </conditionalFormatting>
  <pageMargins left="0.7" right="0.7" top="0.75" bottom="0.75" header="0.3" footer="0.3"/>
  <pageSetup scale="80"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M102"/>
  <sheetViews>
    <sheetView workbookViewId="0">
      <selection activeCell="A2" sqref="A2"/>
    </sheetView>
  </sheetViews>
  <sheetFormatPr defaultRowHeight="15" x14ac:dyDescent="0.25"/>
  <cols>
    <col min="1" max="1" width="15.28515625" style="84" bestFit="1" customWidth="1"/>
    <col min="2" max="2" width="15.85546875" style="84" bestFit="1" customWidth="1"/>
    <col min="3" max="3" width="22.140625" style="84" bestFit="1" customWidth="1"/>
    <col min="4" max="4" width="15.7109375" style="84" customWidth="1"/>
    <col min="5" max="5" width="11.42578125" style="84" bestFit="1" customWidth="1"/>
    <col min="6" max="6" width="14.28515625" style="84" bestFit="1" customWidth="1"/>
    <col min="7" max="7" width="12.28515625" style="84" bestFit="1" customWidth="1"/>
    <col min="8" max="9" width="13.42578125" style="84" bestFit="1" customWidth="1"/>
    <col min="10" max="10" width="13.140625" style="84" bestFit="1" customWidth="1"/>
    <col min="11" max="11" width="14.42578125" style="84" bestFit="1" customWidth="1"/>
    <col min="12" max="12" width="15.42578125" style="84" customWidth="1"/>
    <col min="13" max="13" width="11.42578125" style="84" bestFit="1" customWidth="1"/>
    <col min="14" max="16384" width="9.140625" style="84"/>
  </cols>
  <sheetData>
    <row r="1" spans="1:11" ht="15.75" thickBot="1" x14ac:dyDescent="0.3">
      <c r="A1" s="78" t="s">
        <v>325</v>
      </c>
      <c r="B1" s="78" t="s">
        <v>292</v>
      </c>
      <c r="C1" s="83" t="s">
        <v>36</v>
      </c>
      <c r="D1" s="78" t="s">
        <v>3</v>
      </c>
      <c r="F1" s="383" t="s">
        <v>320</v>
      </c>
      <c r="G1" s="384"/>
      <c r="H1" s="384"/>
      <c r="I1" s="384"/>
      <c r="J1" s="384"/>
      <c r="K1" s="385"/>
    </row>
    <row r="2" spans="1:11" ht="15" customHeight="1" x14ac:dyDescent="0.25">
      <c r="A2" s="86" t="s">
        <v>96</v>
      </c>
      <c r="B2" s="86" t="s">
        <v>300</v>
      </c>
      <c r="C2" s="86" t="s">
        <v>48</v>
      </c>
      <c r="D2" s="80" t="str">
        <f>IF(ISNUMBER(SEARCH("Column",A31)),"", A31)</f>
        <v>Alpha</v>
      </c>
      <c r="F2" s="386" t="s">
        <v>321</v>
      </c>
      <c r="G2" s="387"/>
      <c r="H2" s="387"/>
      <c r="I2" s="387"/>
      <c r="J2" s="387"/>
      <c r="K2" s="388"/>
    </row>
    <row r="3" spans="1:11" x14ac:dyDescent="0.25">
      <c r="A3" s="87" t="s">
        <v>97</v>
      </c>
      <c r="B3" s="87" t="s">
        <v>298</v>
      </c>
      <c r="C3" s="87" t="s">
        <v>49</v>
      </c>
      <c r="D3" s="81" t="str">
        <f>IF(ISNUMBER(SEARCH("Column",B31)),"", B31)</f>
        <v>Bravo</v>
      </c>
      <c r="F3" s="389"/>
      <c r="G3" s="390"/>
      <c r="H3" s="390"/>
      <c r="I3" s="390"/>
      <c r="J3" s="390"/>
      <c r="K3" s="391"/>
    </row>
    <row r="4" spans="1:11" ht="15.75" thickBot="1" x14ac:dyDescent="0.3">
      <c r="A4" s="87" t="s">
        <v>98</v>
      </c>
      <c r="B4" s="87" t="s">
        <v>294</v>
      </c>
      <c r="C4" s="87" t="s">
        <v>50</v>
      </c>
      <c r="D4" s="81" t="str">
        <f>IF(ISNUMBER(SEARCH("Column",C31)),"", C31)</f>
        <v>Charlie</v>
      </c>
      <c r="F4" s="392"/>
      <c r="G4" s="393"/>
      <c r="H4" s="393"/>
      <c r="I4" s="393"/>
      <c r="J4" s="393"/>
      <c r="K4" s="394"/>
    </row>
    <row r="5" spans="1:11" ht="15.75" thickBot="1" x14ac:dyDescent="0.3">
      <c r="A5" s="87" t="s">
        <v>99</v>
      </c>
      <c r="B5" s="87" t="s">
        <v>301</v>
      </c>
      <c r="C5" s="87" t="s">
        <v>51</v>
      </c>
      <c r="D5" s="81" t="str">
        <f>IF(ISNUMBER(SEARCH("Column",D31)),"", D31)</f>
        <v>Delta</v>
      </c>
    </row>
    <row r="6" spans="1:11" ht="15.75" thickBot="1" x14ac:dyDescent="0.3">
      <c r="A6" s="87" t="s">
        <v>95</v>
      </c>
      <c r="B6" s="87" t="s">
        <v>296</v>
      </c>
      <c r="C6" s="87" t="s">
        <v>52</v>
      </c>
      <c r="D6" s="81" t="str">
        <f>IF(ISNUMBER(SEARCH("Column",E31)),"", E31)</f>
        <v>GS</v>
      </c>
      <c r="F6" s="395" t="s">
        <v>322</v>
      </c>
      <c r="G6" s="396"/>
      <c r="H6" s="396"/>
      <c r="I6" s="396"/>
      <c r="J6" s="396"/>
      <c r="K6" s="397"/>
    </row>
    <row r="7" spans="1:11" ht="15" customHeight="1" x14ac:dyDescent="0.25">
      <c r="A7" s="87" t="s">
        <v>100</v>
      </c>
      <c r="B7" s="87" t="s">
        <v>297</v>
      </c>
      <c r="C7" s="88" t="s">
        <v>290</v>
      </c>
      <c r="D7" s="81" t="str">
        <f>IF(ISNUMBER(SEARCH("Column",F31)),"", F31)</f>
        <v>HQ</v>
      </c>
      <c r="F7" s="398" t="s">
        <v>330</v>
      </c>
      <c r="G7" s="399"/>
      <c r="H7" s="399"/>
      <c r="I7" s="399"/>
      <c r="J7" s="399"/>
      <c r="K7" s="400"/>
    </row>
    <row r="8" spans="1:11" x14ac:dyDescent="0.25">
      <c r="A8" s="87" t="s">
        <v>101</v>
      </c>
      <c r="B8" s="87" t="s">
        <v>295</v>
      </c>
      <c r="C8" s="87"/>
      <c r="D8" s="81" t="str">
        <f>IF(ISNUMBER(SEARCH("Column",G31)),"", G31)</f>
        <v>Service</v>
      </c>
      <c r="F8" s="401"/>
      <c r="G8" s="402"/>
      <c r="H8" s="402"/>
      <c r="I8" s="402"/>
      <c r="J8" s="402"/>
      <c r="K8" s="403"/>
    </row>
    <row r="9" spans="1:11" x14ac:dyDescent="0.25">
      <c r="A9" s="87" t="s">
        <v>102</v>
      </c>
      <c r="B9" s="87" t="s">
        <v>302</v>
      </c>
      <c r="C9" s="88"/>
      <c r="D9" s="81" t="str">
        <f>IF(ISNUMBER(SEARCH("Column",H31)),"", H31)</f>
        <v/>
      </c>
      <c r="F9" s="401"/>
      <c r="G9" s="402"/>
      <c r="H9" s="402"/>
      <c r="I9" s="402"/>
      <c r="J9" s="402"/>
      <c r="K9" s="403"/>
    </row>
    <row r="10" spans="1:11" ht="15.75" thickBot="1" x14ac:dyDescent="0.3">
      <c r="A10" s="87" t="s">
        <v>32</v>
      </c>
      <c r="B10" s="87" t="s">
        <v>293</v>
      </c>
      <c r="C10" s="87"/>
      <c r="D10" s="82" t="str">
        <f>IF(ISNUMBER(SEARCH("Column",I31)),"", I31)</f>
        <v/>
      </c>
      <c r="F10" s="401"/>
      <c r="G10" s="402"/>
      <c r="H10" s="402"/>
      <c r="I10" s="402"/>
      <c r="J10" s="402"/>
      <c r="K10" s="403"/>
    </row>
    <row r="11" spans="1:11" ht="15.75" thickBot="1" x14ac:dyDescent="0.3">
      <c r="A11" s="87" t="s">
        <v>103</v>
      </c>
      <c r="B11" s="87" t="s">
        <v>299</v>
      </c>
      <c r="C11" s="89"/>
      <c r="F11" s="401"/>
      <c r="G11" s="402"/>
      <c r="H11" s="402"/>
      <c r="I11" s="402"/>
      <c r="J11" s="402"/>
      <c r="K11" s="403"/>
    </row>
    <row r="12" spans="1:11" ht="15.75" thickBot="1" x14ac:dyDescent="0.3">
      <c r="A12" s="87" t="s">
        <v>104</v>
      </c>
      <c r="B12" s="87" t="s">
        <v>57</v>
      </c>
      <c r="C12" s="78" t="s">
        <v>37</v>
      </c>
      <c r="D12" s="77" t="s">
        <v>323</v>
      </c>
      <c r="F12" s="401"/>
      <c r="G12" s="402"/>
      <c r="H12" s="402"/>
      <c r="I12" s="402"/>
      <c r="J12" s="402"/>
      <c r="K12" s="403"/>
    </row>
    <row r="13" spans="1:11" ht="15.75" thickBot="1" x14ac:dyDescent="0.3">
      <c r="A13" s="87" t="s">
        <v>105</v>
      </c>
      <c r="B13" s="87"/>
      <c r="C13" s="86" t="s">
        <v>54</v>
      </c>
      <c r="D13" s="90" t="s">
        <v>329</v>
      </c>
      <c r="F13" s="401"/>
      <c r="G13" s="402"/>
      <c r="H13" s="402"/>
      <c r="I13" s="402"/>
      <c r="J13" s="402"/>
      <c r="K13" s="403"/>
    </row>
    <row r="14" spans="1:11" x14ac:dyDescent="0.25">
      <c r="A14" s="87" t="s">
        <v>106</v>
      </c>
      <c r="B14" s="87"/>
      <c r="C14" s="87" t="s">
        <v>55</v>
      </c>
      <c r="F14" s="401"/>
      <c r="G14" s="402"/>
      <c r="H14" s="402"/>
      <c r="I14" s="402"/>
      <c r="J14" s="402"/>
      <c r="K14" s="403"/>
    </row>
    <row r="15" spans="1:11" x14ac:dyDescent="0.25">
      <c r="A15" s="87" t="s">
        <v>107</v>
      </c>
      <c r="B15" s="87"/>
      <c r="C15" s="87" t="s">
        <v>56</v>
      </c>
      <c r="F15" s="401"/>
      <c r="G15" s="402"/>
      <c r="H15" s="402"/>
      <c r="I15" s="402"/>
      <c r="J15" s="402"/>
      <c r="K15" s="403"/>
    </row>
    <row r="16" spans="1:11" x14ac:dyDescent="0.25">
      <c r="A16" s="87" t="s">
        <v>108</v>
      </c>
      <c r="B16" s="87"/>
      <c r="C16" s="87" t="s">
        <v>57</v>
      </c>
      <c r="F16" s="401"/>
      <c r="G16" s="402"/>
      <c r="H16" s="402"/>
      <c r="I16" s="402"/>
      <c r="J16" s="402"/>
      <c r="K16" s="403"/>
    </row>
    <row r="17" spans="1:12" x14ac:dyDescent="0.25">
      <c r="A17" s="87" t="s">
        <v>109</v>
      </c>
      <c r="B17" s="87"/>
      <c r="C17" s="87"/>
      <c r="F17" s="401"/>
      <c r="G17" s="402"/>
      <c r="H17" s="402"/>
      <c r="I17" s="402"/>
      <c r="J17" s="402"/>
      <c r="K17" s="403"/>
    </row>
    <row r="18" spans="1:12" x14ac:dyDescent="0.25">
      <c r="A18" s="87" t="s">
        <v>110</v>
      </c>
      <c r="B18" s="87"/>
      <c r="C18" s="87"/>
      <c r="F18" s="401"/>
      <c r="G18" s="402"/>
      <c r="H18" s="402"/>
      <c r="I18" s="402"/>
      <c r="J18" s="402"/>
      <c r="K18" s="403"/>
    </row>
    <row r="19" spans="1:12" x14ac:dyDescent="0.25">
      <c r="A19" s="87" t="s">
        <v>111</v>
      </c>
      <c r="B19" s="87"/>
      <c r="C19" s="87"/>
      <c r="F19" s="401"/>
      <c r="G19" s="402"/>
      <c r="H19" s="402"/>
      <c r="I19" s="402"/>
      <c r="J19" s="402"/>
      <c r="K19" s="403"/>
    </row>
    <row r="20" spans="1:12" x14ac:dyDescent="0.25">
      <c r="A20" s="87" t="s">
        <v>112</v>
      </c>
      <c r="B20" s="87"/>
      <c r="C20" s="87"/>
      <c r="F20" s="401"/>
      <c r="G20" s="402"/>
      <c r="H20" s="402"/>
      <c r="I20" s="402"/>
      <c r="J20" s="402"/>
      <c r="K20" s="403"/>
    </row>
    <row r="21" spans="1:12" x14ac:dyDescent="0.25">
      <c r="A21" s="87" t="s">
        <v>113</v>
      </c>
      <c r="B21" s="87"/>
      <c r="C21" s="87"/>
      <c r="E21" s="85"/>
      <c r="F21" s="401"/>
      <c r="G21" s="402"/>
      <c r="H21" s="402"/>
      <c r="I21" s="402"/>
      <c r="J21" s="402"/>
      <c r="K21" s="403"/>
    </row>
    <row r="22" spans="1:12" ht="15.75" thickBot="1" x14ac:dyDescent="0.3">
      <c r="A22" s="87" t="s">
        <v>114</v>
      </c>
      <c r="B22" s="87"/>
      <c r="C22" s="89"/>
      <c r="E22" s="85"/>
      <c r="F22" s="401"/>
      <c r="G22" s="402"/>
      <c r="H22" s="402"/>
      <c r="I22" s="402"/>
      <c r="J22" s="402"/>
      <c r="K22" s="403"/>
    </row>
    <row r="23" spans="1:12" ht="15.75" thickBot="1" x14ac:dyDescent="0.3">
      <c r="A23" s="87" t="s">
        <v>115</v>
      </c>
      <c r="B23" s="87"/>
      <c r="C23" s="78" t="s">
        <v>60</v>
      </c>
      <c r="E23" s="85"/>
      <c r="F23" s="401"/>
      <c r="G23" s="402"/>
      <c r="H23" s="402"/>
      <c r="I23" s="402"/>
      <c r="J23" s="402"/>
      <c r="K23" s="403"/>
    </row>
    <row r="24" spans="1:12" x14ac:dyDescent="0.25">
      <c r="A24" s="87" t="s">
        <v>116</v>
      </c>
      <c r="B24" s="87"/>
      <c r="C24" s="86" t="s">
        <v>277</v>
      </c>
      <c r="E24" s="85"/>
      <c r="F24" s="401"/>
      <c r="G24" s="402"/>
      <c r="H24" s="402"/>
      <c r="I24" s="402"/>
      <c r="J24" s="402"/>
      <c r="K24" s="403"/>
    </row>
    <row r="25" spans="1:12" x14ac:dyDescent="0.25">
      <c r="A25" s="87" t="s">
        <v>117</v>
      </c>
      <c r="B25" s="87"/>
      <c r="C25" s="87" t="s">
        <v>278</v>
      </c>
      <c r="E25" s="85"/>
      <c r="F25" s="401"/>
      <c r="G25" s="402"/>
      <c r="H25" s="402"/>
      <c r="I25" s="402"/>
      <c r="J25" s="402"/>
      <c r="K25" s="403"/>
    </row>
    <row r="26" spans="1:12" x14ac:dyDescent="0.25">
      <c r="A26" s="87" t="s">
        <v>118</v>
      </c>
      <c r="B26" s="87"/>
      <c r="C26" s="87" t="s">
        <v>222</v>
      </c>
      <c r="E26" s="85"/>
      <c r="F26" s="401"/>
      <c r="G26" s="402"/>
      <c r="H26" s="402"/>
      <c r="I26" s="402"/>
      <c r="J26" s="402"/>
      <c r="K26" s="403"/>
    </row>
    <row r="27" spans="1:12" x14ac:dyDescent="0.25">
      <c r="A27" s="87" t="s">
        <v>119</v>
      </c>
      <c r="B27" s="87"/>
      <c r="C27" s="87" t="s">
        <v>223</v>
      </c>
      <c r="E27" s="85"/>
      <c r="F27" s="401"/>
      <c r="G27" s="402"/>
      <c r="H27" s="402"/>
      <c r="I27" s="402"/>
      <c r="J27" s="402"/>
      <c r="K27" s="403"/>
    </row>
    <row r="28" spans="1:12" ht="15.75" thickBot="1" x14ac:dyDescent="0.3">
      <c r="A28" s="87"/>
      <c r="B28" s="87"/>
      <c r="C28" s="87" t="s">
        <v>57</v>
      </c>
      <c r="E28" s="85"/>
      <c r="F28" s="404"/>
      <c r="G28" s="405"/>
      <c r="H28" s="405"/>
      <c r="I28" s="405"/>
      <c r="J28" s="405"/>
      <c r="K28" s="406"/>
    </row>
    <row r="29" spans="1:12" ht="15.75" thickBot="1" x14ac:dyDescent="0.3">
      <c r="A29" s="89"/>
      <c r="B29" s="91"/>
      <c r="C29" s="89"/>
      <c r="E29" s="85"/>
      <c r="F29" s="85"/>
      <c r="G29" s="85"/>
      <c r="H29" s="85"/>
      <c r="I29" s="85"/>
      <c r="J29" s="85"/>
      <c r="K29" s="85"/>
    </row>
    <row r="30" spans="1:12" ht="20.25" customHeight="1" thickBot="1" x14ac:dyDescent="0.3">
      <c r="A30" s="380" t="s">
        <v>326</v>
      </c>
      <c r="B30" s="381"/>
      <c r="C30" s="381"/>
      <c r="D30" s="381"/>
      <c r="E30" s="381"/>
      <c r="F30" s="381"/>
      <c r="G30" s="381"/>
      <c r="H30" s="381"/>
      <c r="I30" s="382"/>
      <c r="J30" s="85"/>
      <c r="K30" s="379" t="s">
        <v>332</v>
      </c>
      <c r="L30" s="379"/>
    </row>
    <row r="31" spans="1:12" ht="15.75" thickBot="1" x14ac:dyDescent="0.3">
      <c r="A31" s="92" t="s">
        <v>240</v>
      </c>
      <c r="B31" s="93" t="s">
        <v>241</v>
      </c>
      <c r="C31" s="94" t="s">
        <v>242</v>
      </c>
      <c r="D31" s="93" t="s">
        <v>244</v>
      </c>
      <c r="E31" s="93" t="s">
        <v>239</v>
      </c>
      <c r="F31" s="93" t="s">
        <v>5</v>
      </c>
      <c r="G31" s="93" t="s">
        <v>243</v>
      </c>
      <c r="H31" s="93" t="s">
        <v>327</v>
      </c>
      <c r="I31" s="95" t="s">
        <v>328</v>
      </c>
      <c r="J31" s="85"/>
      <c r="K31" s="378"/>
      <c r="L31" s="378"/>
    </row>
    <row r="32" spans="1:12" x14ac:dyDescent="0.25">
      <c r="A32" s="96" t="s">
        <v>245</v>
      </c>
      <c r="B32" s="97" t="s">
        <v>248</v>
      </c>
      <c r="C32" s="97" t="s">
        <v>252</v>
      </c>
      <c r="D32" s="97" t="s">
        <v>53</v>
      </c>
      <c r="E32" s="97" t="s">
        <v>248</v>
      </c>
      <c r="F32" s="97" t="s">
        <v>268</v>
      </c>
      <c r="G32" s="97" t="s">
        <v>257</v>
      </c>
      <c r="H32" s="97"/>
      <c r="I32" s="97"/>
      <c r="J32" s="85"/>
      <c r="K32" s="378"/>
      <c r="L32" s="378"/>
    </row>
    <row r="33" spans="1:13" x14ac:dyDescent="0.25">
      <c r="A33" s="98" t="s">
        <v>246</v>
      </c>
      <c r="B33" s="99" t="s">
        <v>250</v>
      </c>
      <c r="C33" s="99" t="s">
        <v>253</v>
      </c>
      <c r="D33" s="100"/>
      <c r="E33" s="99" t="s">
        <v>256</v>
      </c>
      <c r="F33" s="99" t="s">
        <v>263</v>
      </c>
      <c r="G33" s="99" t="s">
        <v>248</v>
      </c>
      <c r="H33" s="99"/>
      <c r="I33" s="99"/>
      <c r="J33" s="85"/>
      <c r="K33" s="378"/>
      <c r="L33" s="378"/>
    </row>
    <row r="34" spans="1:13" x14ac:dyDescent="0.25">
      <c r="A34" s="98" t="s">
        <v>247</v>
      </c>
      <c r="B34" s="99" t="s">
        <v>266</v>
      </c>
      <c r="C34" s="99" t="s">
        <v>248</v>
      </c>
      <c r="D34" s="100"/>
      <c r="E34" s="99" t="s">
        <v>266</v>
      </c>
      <c r="F34" s="99" t="s">
        <v>248</v>
      </c>
      <c r="G34" s="99" t="s">
        <v>258</v>
      </c>
      <c r="H34" s="99"/>
      <c r="I34" s="99"/>
      <c r="J34" s="85"/>
      <c r="K34" s="378"/>
      <c r="L34" s="378"/>
    </row>
    <row r="35" spans="1:13" x14ac:dyDescent="0.25">
      <c r="A35" s="98" t="s">
        <v>248</v>
      </c>
      <c r="B35" s="99" t="s">
        <v>251</v>
      </c>
      <c r="C35" s="99" t="s">
        <v>266</v>
      </c>
      <c r="D35" s="100"/>
      <c r="E35" s="99" t="s">
        <v>254</v>
      </c>
      <c r="F35" s="99" t="s">
        <v>262</v>
      </c>
      <c r="G35" s="99" t="s">
        <v>260</v>
      </c>
      <c r="H35" s="99"/>
      <c r="I35" s="99"/>
      <c r="J35" s="85"/>
      <c r="K35" s="378"/>
      <c r="L35" s="378"/>
    </row>
    <row r="36" spans="1:13" x14ac:dyDescent="0.25">
      <c r="A36" s="98" t="s">
        <v>249</v>
      </c>
      <c r="B36" s="99"/>
      <c r="C36" s="100"/>
      <c r="D36" s="100"/>
      <c r="E36" s="99" t="s">
        <v>255</v>
      </c>
      <c r="F36" s="99" t="s">
        <v>235</v>
      </c>
      <c r="G36" s="99" t="s">
        <v>259</v>
      </c>
      <c r="H36" s="99"/>
      <c r="I36" s="99"/>
      <c r="J36" s="85"/>
      <c r="K36" s="378"/>
      <c r="L36" s="378"/>
    </row>
    <row r="37" spans="1:13" x14ac:dyDescent="0.25">
      <c r="A37" s="98"/>
      <c r="B37" s="99"/>
      <c r="C37" s="100"/>
      <c r="D37" s="100"/>
      <c r="E37" s="99"/>
      <c r="F37" s="99" t="s">
        <v>236</v>
      </c>
      <c r="G37" s="99"/>
      <c r="H37" s="99"/>
      <c r="I37" s="99"/>
      <c r="J37" s="85"/>
      <c r="K37" s="378"/>
      <c r="L37" s="378"/>
    </row>
    <row r="38" spans="1:13" x14ac:dyDescent="0.25">
      <c r="A38" s="98"/>
      <c r="B38" s="99"/>
      <c r="C38" s="100"/>
      <c r="D38" s="100"/>
      <c r="E38" s="99"/>
      <c r="F38" s="99" t="s">
        <v>237</v>
      </c>
      <c r="G38" s="99"/>
      <c r="H38" s="99"/>
      <c r="I38" s="99"/>
      <c r="J38" s="85"/>
      <c r="K38" s="378"/>
      <c r="L38" s="378"/>
    </row>
    <row r="39" spans="1:13" x14ac:dyDescent="0.25">
      <c r="A39" s="98"/>
      <c r="B39" s="99"/>
      <c r="C39" s="100"/>
      <c r="D39" s="100"/>
      <c r="E39" s="99"/>
      <c r="F39" s="99" t="s">
        <v>6</v>
      </c>
      <c r="G39" s="99"/>
      <c r="H39" s="99"/>
      <c r="I39" s="99"/>
      <c r="J39" s="85"/>
      <c r="K39" s="378"/>
      <c r="L39" s="378"/>
    </row>
    <row r="40" spans="1:13" x14ac:dyDescent="0.25">
      <c r="A40" s="98"/>
      <c r="B40" s="99"/>
      <c r="C40" s="100"/>
      <c r="D40" s="100"/>
      <c r="E40" s="99"/>
      <c r="F40" s="99" t="s">
        <v>309</v>
      </c>
      <c r="G40" s="99"/>
      <c r="H40" s="99"/>
      <c r="I40" s="99"/>
      <c r="J40" s="85"/>
    </row>
    <row r="41" spans="1:13" x14ac:dyDescent="0.25">
      <c r="A41" s="98"/>
      <c r="B41" s="99"/>
      <c r="C41" s="100"/>
      <c r="D41" s="100"/>
      <c r="E41" s="99"/>
      <c r="F41" s="99" t="s">
        <v>265</v>
      </c>
      <c r="G41" s="99"/>
      <c r="H41" s="99"/>
      <c r="I41" s="99"/>
      <c r="J41" s="85"/>
    </row>
    <row r="42" spans="1:13" x14ac:dyDescent="0.25">
      <c r="A42" s="98"/>
      <c r="B42" s="99"/>
      <c r="C42" s="100"/>
      <c r="D42" s="100"/>
      <c r="E42" s="99"/>
      <c r="F42" s="99" t="s">
        <v>313</v>
      </c>
      <c r="G42" s="99"/>
      <c r="H42" s="99"/>
      <c r="I42" s="99"/>
      <c r="J42" s="85"/>
      <c r="K42" s="85"/>
    </row>
    <row r="43" spans="1:13" ht="15.75" thickBot="1" x14ac:dyDescent="0.3">
      <c r="A43" s="98"/>
      <c r="B43" s="99"/>
      <c r="C43" s="100"/>
      <c r="D43" s="100"/>
      <c r="E43" s="99"/>
      <c r="F43" s="99" t="s">
        <v>264</v>
      </c>
      <c r="G43" s="99"/>
      <c r="H43" s="99"/>
      <c r="I43" s="99"/>
      <c r="J43" s="85"/>
      <c r="K43" s="85"/>
    </row>
    <row r="44" spans="1:13" ht="15.75" thickBot="1" x14ac:dyDescent="0.3">
      <c r="A44" s="98"/>
      <c r="B44" s="99"/>
      <c r="C44" s="100"/>
      <c r="D44" s="100"/>
      <c r="E44" s="99"/>
      <c r="F44" s="99" t="s">
        <v>238</v>
      </c>
      <c r="G44" s="99"/>
      <c r="H44" s="99"/>
      <c r="I44" s="99"/>
      <c r="J44" s="85"/>
      <c r="K44" s="407" t="s">
        <v>331</v>
      </c>
      <c r="L44" s="408"/>
      <c r="M44" s="409"/>
    </row>
    <row r="45" spans="1:13" ht="15.75" thickBot="1" x14ac:dyDescent="0.3">
      <c r="A45" s="98"/>
      <c r="B45" s="99"/>
      <c r="C45" s="100"/>
      <c r="D45" s="100"/>
      <c r="E45" s="99"/>
      <c r="F45" s="99" t="s">
        <v>310</v>
      </c>
      <c r="G45" s="99"/>
      <c r="H45" s="99"/>
      <c r="I45" s="99"/>
      <c r="J45" s="85"/>
      <c r="K45" s="375" t="s">
        <v>38</v>
      </c>
      <c r="L45" s="376"/>
      <c r="M45" s="377"/>
    </row>
    <row r="46" spans="1:13" x14ac:dyDescent="0.25">
      <c r="A46" s="98"/>
      <c r="B46" s="99"/>
      <c r="C46" s="100"/>
      <c r="D46" s="100"/>
      <c r="E46" s="99"/>
      <c r="F46" s="99" t="s">
        <v>311</v>
      </c>
      <c r="G46" s="99"/>
      <c r="H46" s="99"/>
      <c r="I46" s="99"/>
      <c r="J46" s="85"/>
      <c r="K46" s="85"/>
    </row>
    <row r="47" spans="1:13" x14ac:dyDescent="0.25">
      <c r="A47" s="98"/>
      <c r="B47" s="99"/>
      <c r="C47" s="100"/>
      <c r="D47" s="100"/>
      <c r="E47" s="99"/>
      <c r="F47" s="99" t="s">
        <v>261</v>
      </c>
      <c r="G47" s="99"/>
      <c r="H47" s="99"/>
      <c r="I47" s="99"/>
      <c r="J47" s="85"/>
      <c r="K47" s="85"/>
    </row>
    <row r="48" spans="1:13" x14ac:dyDescent="0.25">
      <c r="A48" s="98"/>
      <c r="B48" s="99"/>
      <c r="C48" s="100"/>
      <c r="D48" s="100"/>
      <c r="E48" s="99"/>
      <c r="F48" s="99" t="s">
        <v>267</v>
      </c>
      <c r="G48" s="99"/>
      <c r="H48" s="99"/>
      <c r="I48" s="99"/>
      <c r="J48" s="85"/>
      <c r="K48" s="85"/>
    </row>
    <row r="49" spans="1:13" x14ac:dyDescent="0.25">
      <c r="A49" s="98"/>
      <c r="B49" s="99"/>
      <c r="C49" s="100"/>
      <c r="D49" s="100"/>
      <c r="E49" s="99"/>
      <c r="F49" s="99"/>
      <c r="G49" s="99"/>
      <c r="H49" s="99"/>
      <c r="I49" s="99"/>
      <c r="J49" s="85"/>
      <c r="K49" s="85"/>
    </row>
    <row r="50" spans="1:13" x14ac:dyDescent="0.25">
      <c r="A50" s="98"/>
      <c r="B50" s="99"/>
      <c r="C50" s="100"/>
      <c r="D50" s="100"/>
      <c r="E50" s="99"/>
      <c r="F50" s="99"/>
      <c r="G50" s="99"/>
      <c r="H50" s="99"/>
      <c r="I50" s="99"/>
      <c r="J50" s="85"/>
      <c r="K50" s="85"/>
    </row>
    <row r="51" spans="1:13" ht="15.75" thickBot="1" x14ac:dyDescent="0.3">
      <c r="A51" s="98"/>
      <c r="B51" s="99"/>
      <c r="C51" s="100"/>
      <c r="D51" s="100"/>
      <c r="E51" s="99"/>
      <c r="F51" s="99"/>
      <c r="G51" s="99"/>
      <c r="H51" s="99"/>
      <c r="I51" s="99"/>
      <c r="J51" s="85"/>
      <c r="K51" s="85"/>
    </row>
    <row r="52" spans="1:13" ht="30.75" thickBot="1" x14ac:dyDescent="0.3">
      <c r="A52" s="78" t="s">
        <v>10</v>
      </c>
      <c r="B52" s="79" t="s">
        <v>170</v>
      </c>
      <c r="C52" s="85"/>
      <c r="D52" s="85"/>
      <c r="G52" s="85"/>
      <c r="H52" s="85"/>
      <c r="I52" s="85"/>
      <c r="J52" s="85"/>
      <c r="K52" s="85"/>
      <c r="L52" s="85"/>
      <c r="M52" s="85"/>
    </row>
    <row r="53" spans="1:13" x14ac:dyDescent="0.25">
      <c r="A53" s="80" t="s">
        <v>120</v>
      </c>
      <c r="B53" s="80" t="s">
        <v>171</v>
      </c>
    </row>
    <row r="54" spans="1:13" x14ac:dyDescent="0.25">
      <c r="A54" s="81" t="s">
        <v>121</v>
      </c>
      <c r="B54" s="81" t="s">
        <v>172</v>
      </c>
    </row>
    <row r="55" spans="1:13" x14ac:dyDescent="0.25">
      <c r="A55" s="81" t="s">
        <v>122</v>
      </c>
      <c r="B55" s="81" t="s">
        <v>173</v>
      </c>
    </row>
    <row r="56" spans="1:13" x14ac:dyDescent="0.25">
      <c r="A56" s="81" t="s">
        <v>123</v>
      </c>
      <c r="B56" s="81" t="s">
        <v>174</v>
      </c>
    </row>
    <row r="57" spans="1:13" x14ac:dyDescent="0.25">
      <c r="A57" s="81" t="s">
        <v>124</v>
      </c>
      <c r="B57" s="81" t="s">
        <v>175</v>
      </c>
    </row>
    <row r="58" spans="1:13" x14ac:dyDescent="0.25">
      <c r="A58" s="81" t="s">
        <v>125</v>
      </c>
      <c r="B58" s="81" t="s">
        <v>176</v>
      </c>
    </row>
    <row r="59" spans="1:13" x14ac:dyDescent="0.25">
      <c r="A59" s="81" t="s">
        <v>126</v>
      </c>
      <c r="B59" s="81" t="s">
        <v>177</v>
      </c>
    </row>
    <row r="60" spans="1:13" x14ac:dyDescent="0.25">
      <c r="A60" s="81" t="s">
        <v>127</v>
      </c>
      <c r="B60" s="81" t="s">
        <v>178</v>
      </c>
    </row>
    <row r="61" spans="1:13" x14ac:dyDescent="0.25">
      <c r="A61" s="81" t="s">
        <v>128</v>
      </c>
      <c r="B61" s="81" t="s">
        <v>179</v>
      </c>
    </row>
    <row r="62" spans="1:13" x14ac:dyDescent="0.25">
      <c r="A62" s="81" t="s">
        <v>129</v>
      </c>
      <c r="B62" s="81" t="s">
        <v>180</v>
      </c>
    </row>
    <row r="63" spans="1:13" x14ac:dyDescent="0.25">
      <c r="A63" s="81" t="s">
        <v>130</v>
      </c>
      <c r="B63" s="81" t="s">
        <v>181</v>
      </c>
    </row>
    <row r="64" spans="1:13" x14ac:dyDescent="0.25">
      <c r="A64" s="81" t="s">
        <v>131</v>
      </c>
      <c r="B64" s="81" t="s">
        <v>182</v>
      </c>
    </row>
    <row r="65" spans="1:2" x14ac:dyDescent="0.25">
      <c r="A65" s="81" t="s">
        <v>132</v>
      </c>
      <c r="B65" s="81" t="s">
        <v>183</v>
      </c>
    </row>
    <row r="66" spans="1:2" x14ac:dyDescent="0.25">
      <c r="A66" s="81" t="s">
        <v>133</v>
      </c>
      <c r="B66" s="81" t="s">
        <v>184</v>
      </c>
    </row>
    <row r="67" spans="1:2" x14ac:dyDescent="0.25">
      <c r="A67" s="81" t="s">
        <v>134</v>
      </c>
      <c r="B67" s="81" t="s">
        <v>185</v>
      </c>
    </row>
    <row r="68" spans="1:2" x14ac:dyDescent="0.25">
      <c r="A68" s="81" t="s">
        <v>135</v>
      </c>
      <c r="B68" s="81" t="s">
        <v>186</v>
      </c>
    </row>
    <row r="69" spans="1:2" x14ac:dyDescent="0.25">
      <c r="A69" s="81" t="s">
        <v>136</v>
      </c>
      <c r="B69" s="81" t="s">
        <v>187</v>
      </c>
    </row>
    <row r="70" spans="1:2" x14ac:dyDescent="0.25">
      <c r="A70" s="81" t="s">
        <v>137</v>
      </c>
      <c r="B70" s="81" t="s">
        <v>188</v>
      </c>
    </row>
    <row r="71" spans="1:2" x14ac:dyDescent="0.25">
      <c r="A71" s="81" t="s">
        <v>138</v>
      </c>
      <c r="B71" s="81" t="s">
        <v>189</v>
      </c>
    </row>
    <row r="72" spans="1:2" x14ac:dyDescent="0.25">
      <c r="A72" s="81" t="s">
        <v>139</v>
      </c>
      <c r="B72" s="81" t="s">
        <v>190</v>
      </c>
    </row>
    <row r="73" spans="1:2" x14ac:dyDescent="0.25">
      <c r="A73" s="81" t="s">
        <v>140</v>
      </c>
      <c r="B73" s="81" t="s">
        <v>191</v>
      </c>
    </row>
    <row r="74" spans="1:2" x14ac:dyDescent="0.25">
      <c r="A74" s="81" t="s">
        <v>141</v>
      </c>
      <c r="B74" s="81" t="s">
        <v>192</v>
      </c>
    </row>
    <row r="75" spans="1:2" x14ac:dyDescent="0.25">
      <c r="A75" s="81" t="s">
        <v>142</v>
      </c>
      <c r="B75" s="81" t="s">
        <v>193</v>
      </c>
    </row>
    <row r="76" spans="1:2" x14ac:dyDescent="0.25">
      <c r="A76" s="81" t="s">
        <v>143</v>
      </c>
      <c r="B76" s="81" t="s">
        <v>194</v>
      </c>
    </row>
    <row r="77" spans="1:2" x14ac:dyDescent="0.25">
      <c r="A77" s="81" t="s">
        <v>144</v>
      </c>
      <c r="B77" s="81" t="s">
        <v>195</v>
      </c>
    </row>
    <row r="78" spans="1:2" x14ac:dyDescent="0.25">
      <c r="A78" s="81" t="s">
        <v>145</v>
      </c>
      <c r="B78" s="81" t="s">
        <v>196</v>
      </c>
    </row>
    <row r="79" spans="1:2" x14ac:dyDescent="0.25">
      <c r="A79" s="81" t="s">
        <v>146</v>
      </c>
      <c r="B79" s="81" t="s">
        <v>197</v>
      </c>
    </row>
    <row r="80" spans="1:2" x14ac:dyDescent="0.25">
      <c r="A80" s="81" t="s">
        <v>147</v>
      </c>
      <c r="B80" s="81" t="s">
        <v>198</v>
      </c>
    </row>
    <row r="81" spans="1:2" x14ac:dyDescent="0.25">
      <c r="A81" s="81" t="s">
        <v>148</v>
      </c>
      <c r="B81" s="81" t="s">
        <v>199</v>
      </c>
    </row>
    <row r="82" spans="1:2" x14ac:dyDescent="0.25">
      <c r="A82" s="81" t="s">
        <v>149</v>
      </c>
      <c r="B82" s="81" t="s">
        <v>200</v>
      </c>
    </row>
    <row r="83" spans="1:2" x14ac:dyDescent="0.25">
      <c r="A83" s="81" t="s">
        <v>150</v>
      </c>
      <c r="B83" s="81" t="s">
        <v>201</v>
      </c>
    </row>
    <row r="84" spans="1:2" x14ac:dyDescent="0.25">
      <c r="A84" s="81" t="s">
        <v>151</v>
      </c>
      <c r="B84" s="81" t="s">
        <v>202</v>
      </c>
    </row>
    <row r="85" spans="1:2" x14ac:dyDescent="0.25">
      <c r="A85" s="81" t="s">
        <v>152</v>
      </c>
      <c r="B85" s="81" t="s">
        <v>203</v>
      </c>
    </row>
    <row r="86" spans="1:2" x14ac:dyDescent="0.25">
      <c r="A86" s="81" t="s">
        <v>153</v>
      </c>
      <c r="B86" s="81" t="s">
        <v>204</v>
      </c>
    </row>
    <row r="87" spans="1:2" x14ac:dyDescent="0.25">
      <c r="A87" s="81" t="s">
        <v>154</v>
      </c>
      <c r="B87" s="81" t="s">
        <v>205</v>
      </c>
    </row>
    <row r="88" spans="1:2" x14ac:dyDescent="0.25">
      <c r="A88" s="81" t="s">
        <v>155</v>
      </c>
      <c r="B88" s="81" t="s">
        <v>206</v>
      </c>
    </row>
    <row r="89" spans="1:2" x14ac:dyDescent="0.25">
      <c r="A89" s="81" t="s">
        <v>156</v>
      </c>
      <c r="B89" s="81" t="s">
        <v>207</v>
      </c>
    </row>
    <row r="90" spans="1:2" x14ac:dyDescent="0.25">
      <c r="A90" s="81" t="s">
        <v>157</v>
      </c>
      <c r="B90" s="81" t="s">
        <v>208</v>
      </c>
    </row>
    <row r="91" spans="1:2" x14ac:dyDescent="0.25">
      <c r="A91" s="81" t="s">
        <v>158</v>
      </c>
      <c r="B91" s="81" t="s">
        <v>209</v>
      </c>
    </row>
    <row r="92" spans="1:2" x14ac:dyDescent="0.25">
      <c r="A92" s="81" t="s">
        <v>159</v>
      </c>
      <c r="B92" s="81" t="s">
        <v>210</v>
      </c>
    </row>
    <row r="93" spans="1:2" x14ac:dyDescent="0.25">
      <c r="A93" s="81" t="s">
        <v>160</v>
      </c>
      <c r="B93" s="81" t="s">
        <v>211</v>
      </c>
    </row>
    <row r="94" spans="1:2" x14ac:dyDescent="0.25">
      <c r="A94" s="81" t="s">
        <v>161</v>
      </c>
      <c r="B94" s="81" t="s">
        <v>212</v>
      </c>
    </row>
    <row r="95" spans="1:2" x14ac:dyDescent="0.25">
      <c r="A95" s="81" t="s">
        <v>162</v>
      </c>
      <c r="B95" s="81" t="s">
        <v>213</v>
      </c>
    </row>
    <row r="96" spans="1:2" x14ac:dyDescent="0.25">
      <c r="A96" s="81" t="s">
        <v>163</v>
      </c>
      <c r="B96" s="81" t="s">
        <v>214</v>
      </c>
    </row>
    <row r="97" spans="1:2" x14ac:dyDescent="0.25">
      <c r="A97" s="81" t="s">
        <v>164</v>
      </c>
      <c r="B97" s="81" t="s">
        <v>215</v>
      </c>
    </row>
    <row r="98" spans="1:2" x14ac:dyDescent="0.25">
      <c r="A98" s="81" t="s">
        <v>165</v>
      </c>
      <c r="B98" s="81" t="s">
        <v>216</v>
      </c>
    </row>
    <row r="99" spans="1:2" x14ac:dyDescent="0.25">
      <c r="A99" s="81" t="s">
        <v>166</v>
      </c>
      <c r="B99" s="81" t="s">
        <v>217</v>
      </c>
    </row>
    <row r="100" spans="1:2" x14ac:dyDescent="0.25">
      <c r="A100" s="81" t="s">
        <v>167</v>
      </c>
      <c r="B100" s="81" t="s">
        <v>218</v>
      </c>
    </row>
    <row r="101" spans="1:2" x14ac:dyDescent="0.25">
      <c r="A101" s="81" t="s">
        <v>168</v>
      </c>
      <c r="B101" s="81" t="s">
        <v>219</v>
      </c>
    </row>
    <row r="102" spans="1:2" ht="15.75" thickBot="1" x14ac:dyDescent="0.3">
      <c r="A102" s="82" t="s">
        <v>169</v>
      </c>
      <c r="B102" s="82" t="s">
        <v>220</v>
      </c>
    </row>
  </sheetData>
  <sheetProtection algorithmName="SHA-512" hashValue="rvx/UtEmSJ/aamdqLdx3kGXzohTKCpWjLygttvk7Nwkfns5CUMYJB0fVpP2qZ/lRvT53lQyQlem9gnYxdhw3FQ==" saltValue="GQfKNCx0aiyTzCw/o1ciJA==" spinCount="100000" sheet="1" objects="1" scenarios="1" selectLockedCells="1" sort="0" autoFilter="0"/>
  <mergeCells count="9">
    <mergeCell ref="K45:M45"/>
    <mergeCell ref="K31:L39"/>
    <mergeCell ref="K30:L30"/>
    <mergeCell ref="A30:I30"/>
    <mergeCell ref="F1:K1"/>
    <mergeCell ref="F2:K4"/>
    <mergeCell ref="F6:K6"/>
    <mergeCell ref="F7:K28"/>
    <mergeCell ref="K44:M4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Change_Password">
                <anchor moveWithCells="1" sizeWithCells="1">
                  <from>
                    <xdr:col>3</xdr:col>
                    <xdr:colOff>152400</xdr:colOff>
                    <xdr:row>13</xdr:row>
                    <xdr:rowOff>161925</xdr:rowOff>
                  </from>
                  <to>
                    <xdr:col>3</xdr:col>
                    <xdr:colOff>990600</xdr:colOff>
                    <xdr:row>16</xdr:row>
                    <xdr:rowOff>38100</xdr:rowOff>
                  </to>
                </anchor>
              </controlPr>
            </control>
          </mc:Choice>
        </mc:AlternateContent>
        <mc:AlternateContent xmlns:mc="http://schemas.openxmlformats.org/markup-compatibility/2006">
          <mc:Choice Requires="x14">
            <control shapeId="5127" r:id="rId5" name="ExtDevMd">
              <controlPr defaultSize="0" print="0" autoFill="0" autoPict="0" macro="[0]!Toggle_DevMode">
                <anchor moveWithCells="1" sizeWithCells="1">
                  <from>
                    <xdr:col>4</xdr:col>
                    <xdr:colOff>85725</xdr:colOff>
                    <xdr:row>1</xdr:row>
                    <xdr:rowOff>66675</xdr:rowOff>
                  </from>
                  <to>
                    <xdr:col>4</xdr:col>
                    <xdr:colOff>695325</xdr:colOff>
                    <xdr:row>3</xdr:row>
                    <xdr:rowOff>114300</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Welcome</vt:lpstr>
      <vt:lpstr>Company</vt:lpstr>
      <vt:lpstr>Duties</vt:lpstr>
      <vt:lpstr>Justification_of_Request</vt:lpstr>
      <vt:lpstr>Mode_of_Travel</vt:lpstr>
      <vt:lpstr>Nature_of_Request</vt:lpstr>
      <vt:lpstr>Rank</vt:lpstr>
      <vt:lpstr>State</vt:lpstr>
      <vt:lpstr>State_Abbreviation</vt:lpstr>
    </vt:vector>
  </TitlesOfParts>
  <Company>USMC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cp:lastPrinted>2019-10-02T13:01:05Z</cp:lastPrinted>
  <dcterms:created xsi:type="dcterms:W3CDTF">2019-07-24T17:43:11Z</dcterms:created>
  <dcterms:modified xsi:type="dcterms:W3CDTF">2021-03-23T16:32:54Z</dcterms:modified>
</cp:coreProperties>
</file>