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canet\home\19yh8fx2\My Documents\Excel\Time Sheet Calc\"/>
    </mc:Choice>
  </mc:AlternateContent>
  <xr:revisionPtr revIDLastSave="0" documentId="13_ncr:1_{CEE3F419-502E-44AD-8D6B-607ABDE6CF96}" xr6:coauthVersionLast="45" xr6:coauthVersionMax="45" xr10:uidLastSave="{00000000-0000-0000-0000-000000000000}"/>
  <workbookProtection lockStructure="1"/>
  <bookViews>
    <workbookView xWindow="-120" yWindow="-120" windowWidth="19440" windowHeight="15000" xr2:uid="{00000000-000D-0000-FFFF-FFFF00000000}"/>
  </bookViews>
  <sheets>
    <sheet name="Welcome" sheetId="3" r:id="rId1"/>
    <sheet name="Logs" sheetId="1" state="veryHidden" r:id="rId2"/>
    <sheet name="Hidden" sheetId="2" state="veryHidden" r:id="rId3"/>
    <sheet name="DevMode" sheetId="4" state="veryHidden" r:id="rId4"/>
  </sheets>
  <functionGroups builtInGroupCount="19"/>
  <definedNames>
    <definedName name="LogType">OFFSET(DevMode!$A$2,0,0,COUNTIF(DevMode!$A$2:$A$51,"&lt;&gt;"))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2" l="1"/>
  <c r="B3" i="2"/>
  <c r="A4" i="2"/>
  <c r="B4" i="2"/>
  <c r="A5" i="2"/>
  <c r="B5" i="2"/>
  <c r="A6" i="2"/>
  <c r="B6" i="2"/>
  <c r="A7" i="2"/>
  <c r="B7" i="2"/>
  <c r="A8" i="2"/>
  <c r="B8" i="2"/>
  <c r="A9" i="2"/>
  <c r="B9" i="2"/>
  <c r="A10" i="2"/>
  <c r="B10" i="2"/>
  <c r="A11" i="2"/>
  <c r="B11" i="2"/>
  <c r="A12" i="2"/>
  <c r="B12" i="2"/>
  <c r="A13" i="2"/>
  <c r="B13" i="2"/>
  <c r="A14" i="2"/>
  <c r="B14" i="2"/>
  <c r="A15" i="2"/>
  <c r="B15" i="2"/>
  <c r="A16" i="2"/>
  <c r="B16" i="2"/>
  <c r="A17" i="2"/>
  <c r="B17" i="2"/>
  <c r="A18" i="2"/>
  <c r="B18" i="2"/>
  <c r="A19" i="2"/>
  <c r="B19" i="2"/>
  <c r="A20" i="2"/>
  <c r="B20" i="2"/>
  <c r="B2" i="2"/>
  <c r="A2"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G2" i="2"/>
  <c r="F2" i="2"/>
  <c r="B21" i="1" l="1"/>
  <c r="D8" i="1"/>
  <c r="D9" i="1"/>
  <c r="D10" i="1"/>
  <c r="C10" i="2" s="1"/>
  <c r="C21" i="1"/>
  <c r="G21" i="2" l="1"/>
  <c r="A21" i="2"/>
  <c r="F21" i="2"/>
  <c r="B21" i="2"/>
  <c r="E8" i="1"/>
  <c r="C8" i="2"/>
  <c r="E9" i="1"/>
  <c r="C9" i="2"/>
  <c r="D11" i="1"/>
  <c r="C11" i="2" s="1"/>
  <c r="D12" i="1"/>
  <c r="C12" i="2" s="1"/>
  <c r="D13" i="1"/>
  <c r="C13" i="2" s="1"/>
  <c r="D14" i="1"/>
  <c r="C14" i="2" s="1"/>
  <c r="D15" i="1"/>
  <c r="C15" i="2" s="1"/>
  <c r="D16" i="1"/>
  <c r="C16" i="2" s="1"/>
  <c r="D17" i="1"/>
  <c r="C17" i="2" s="1"/>
  <c r="D18" i="1"/>
  <c r="C18" i="2" s="1"/>
  <c r="D19" i="1"/>
  <c r="C19" i="2" s="1"/>
  <c r="D20" i="1"/>
  <c r="C20" i="2" s="1"/>
  <c r="D21" i="1" l="1"/>
  <c r="D5" i="1"/>
  <c r="D6" i="1"/>
  <c r="D7" i="1"/>
  <c r="D3" i="1"/>
  <c r="D2" i="1"/>
  <c r="D4" i="1"/>
  <c r="E11" i="1"/>
  <c r="E14" i="1"/>
  <c r="E19" i="1"/>
  <c r="C4" i="2" l="1"/>
  <c r="E3" i="1"/>
  <c r="C3" i="2"/>
  <c r="E7" i="1"/>
  <c r="C7" i="2"/>
  <c r="E6" i="1"/>
  <c r="C6" i="2"/>
  <c r="E2" i="1"/>
  <c r="C2" i="2"/>
  <c r="E17" i="1"/>
  <c r="E15" i="1"/>
  <c r="E12" i="1"/>
  <c r="E13" i="1"/>
  <c r="E18" i="1"/>
  <c r="E5" i="1"/>
  <c r="C5" i="2" s="1"/>
  <c r="E16" i="1"/>
  <c r="E20" i="1"/>
  <c r="E4" i="1"/>
  <c r="E21" i="1"/>
  <c r="C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tc={CC9C58FD-CAE9-407B-8805-926CC5E24A1C}</author>
  </authors>
  <commentList>
    <comment ref="F21" authorId="0" shapeId="0" xr:uid="{CC9C58FD-CAE9-407B-8805-926CC5E24A1C}">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jeffreysda@gmail.com</t>
      </text>
    </comment>
  </commentList>
</comments>
</file>

<file path=xl/sharedStrings.xml><?xml version="1.0" encoding="utf-8"?>
<sst xmlns="http://schemas.openxmlformats.org/spreadsheetml/2006/main" count="42" uniqueCount="41">
  <si>
    <t>WHOLE DAY</t>
  </si>
  <si>
    <t>First Break</t>
  </si>
  <si>
    <t>Lunch Break</t>
  </si>
  <si>
    <t>Second Break</t>
  </si>
  <si>
    <t>Password</t>
  </si>
  <si>
    <t>Description</t>
  </si>
  <si>
    <t>Start</t>
  </si>
  <si>
    <t>End</t>
  </si>
  <si>
    <t>Spent</t>
  </si>
  <si>
    <t>Time Entry</t>
  </si>
  <si>
    <t>Log Notes</t>
  </si>
  <si>
    <t>Start (H)</t>
  </si>
  <si>
    <t>End (H)</t>
  </si>
  <si>
    <t>Log Entry (H)</t>
  </si>
  <si>
    <t>Scrap Entry (H)</t>
  </si>
  <si>
    <t>Scrap Note (H)</t>
  </si>
  <si>
    <t>Start as Num</t>
  </si>
  <si>
    <t>End as Num</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</si>
  <si>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</si>
  <si>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</si>
  <si>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</si>
  <si>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</si>
  <si>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</si>
  <si>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</si>
  <si>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</si>
  <si>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</si>
  <si>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</si>
  <si>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jeffreysda@gmail.com</t>
  </si>
  <si>
    <t>Training</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</si>
  <si>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</si>
  <si>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</si>
  <si>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</si>
  <si>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</si>
  <si>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Absence with Permission</t>
  </si>
  <si>
    <t>Administrative Duties</t>
  </si>
  <si>
    <t>Dependant Care Sick</t>
  </si>
  <si>
    <t>General Time</t>
  </si>
  <si>
    <t>Sick Leave</t>
  </si>
  <si>
    <t>Vacation</t>
  </si>
  <si>
    <t>Type of Log</t>
  </si>
  <si>
    <t>Version: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</si>
</sst>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
    <numFmt numFmtId="166" formatCode="0000"/>
  </numFmts>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sz val="8"/>
      <color rgb="FF000000"/>
      <name val="Segoe UI"/>
      <family val="2"/>
    </font>
    <font>
      <i/>
      <sz val="11"/>
      <color theme="1"/>
      <name val="Calibri"/>
      <family val="2"/>
      <scheme val="minor"/>
    </font>
    <font>
      <b/>
      <i/>
      <sz val="11"/>
      <color rgb="FF7030A0"/>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11"/>
      <color rgb="FF00B0F0"/>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499984740745262"/>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1" fillId="8" borderId="28" applyNumberFormat="0" applyFont="0" applyAlignment="0" applyProtection="0"/>
    <xf numFmtId="0" fontId="10" fillId="0" borderId="0" applyNumberFormat="0" applyFill="0" applyBorder="0" applyAlignment="0" applyProtection="0"/>
  </cellStyleXfs>
  <cellXfs count="132">
    <xf numFmtId="0" fontId="0" fillId="0" borderId="0" xfId="0"/>
    <xf numFmtId="0" fontId="2" fillId="3" borderId="2" xfId="0" applyFont="1" applyFill="1" applyBorder="1" applyAlignment="1" applyProtection="1">
      <alignment horizontal="center" vertical="center"/>
    </xf>
    <xf numFmtId="0" fontId="0" fillId="0" borderId="0" xfId="0" applyProtection="1"/>
    <xf numFmtId="49" fontId="0" fillId="0" borderId="2" xfId="0" applyNumberFormat="1" applyBorder="1" applyProtection="1">
      <protection locked="0"/>
    </xf>
    <xf numFmtId="49" fontId="0" fillId="0" borderId="10" xfId="0" applyNumberFormat="1" applyBorder="1" applyAlignment="1" applyProtection="1">
      <alignment wrapText="1"/>
      <protection locked="0"/>
    </xf>
    <xf numFmtId="49" fontId="0" fillId="0" borderId="3" xfId="0" applyNumberFormat="1" applyBorder="1" applyProtection="1">
      <protection locked="0"/>
    </xf>
    <xf numFmtId="49" fontId="0" fillId="0" borderId="3" xfId="0" applyNumberFormat="1" applyBorder="1" applyAlignment="1" applyProtection="1">
      <alignment wrapText="1"/>
      <protection locked="0"/>
    </xf>
    <xf numFmtId="0" fontId="0" fillId="0" borderId="18" xfId="0" applyBorder="1" applyProtection="1">
      <protection locked="0"/>
    </xf>
    <xf numFmtId="1" fontId="0" fillId="0" borderId="4" xfId="0" applyNumberFormat="1" applyBorder="1" applyProtection="1"/>
    <xf numFmtId="1" fontId="0" fillId="0" borderId="13" xfId="0" applyNumberFormat="1" applyBorder="1" applyProtection="1"/>
    <xf numFmtId="1" fontId="0" fillId="0" borderId="6" xfId="0" applyNumberFormat="1" applyBorder="1" applyProtection="1"/>
    <xf numFmtId="1" fontId="0" fillId="0" borderId="14" xfId="0" applyNumberFormat="1" applyBorder="1" applyProtection="1"/>
    <xf numFmtId="1" fontId="0" fillId="0" borderId="7" xfId="0" applyNumberFormat="1" applyBorder="1" applyProtection="1"/>
    <xf numFmtId="1" fontId="0" fillId="0" borderId="15" xfId="0" applyNumberFormat="1" applyBorder="1" applyProtection="1"/>
    <xf numFmtId="1" fontId="0" fillId="0" borderId="16" xfId="0" applyNumberFormat="1" applyBorder="1" applyProtection="1"/>
    <xf numFmtId="1" fontId="0" fillId="0" borderId="17" xfId="0" applyNumberFormat="1" applyBorder="1" applyProtection="1"/>
    <xf numFmtId="49" fontId="0" fillId="0" borderId="11" xfId="0" applyNumberFormat="1" applyBorder="1" applyProtection="1">
      <protection locked="0"/>
    </xf>
    <xf numFmtId="0" fontId="2" fillId="3" borderId="22" xfId="0" applyFont="1" applyFill="1" applyBorder="1" applyAlignment="1" applyProtection="1">
      <alignment horizontal="center" vertical="center"/>
    </xf>
    <xf numFmtId="164" fontId="0" fillId="2" borderId="4" xfId="0" applyNumberFormat="1" applyFill="1" applyBorder="1" applyAlignment="1" applyProtection="1">
      <alignment horizontal="center" vertical="center"/>
    </xf>
    <xf numFmtId="164" fontId="0" fillId="2" borderId="6" xfId="0" applyNumberFormat="1" applyFill="1" applyBorder="1" applyAlignment="1" applyProtection="1">
      <alignment horizontal="center" vertical="center"/>
    </xf>
    <xf numFmtId="164" fontId="0" fillId="2" borderId="7" xfId="0" applyNumberFormat="1" applyFill="1" applyBorder="1" applyAlignment="1" applyProtection="1">
      <alignment horizontal="center" vertical="center"/>
    </xf>
    <xf numFmtId="164" fontId="0" fillId="2" borderId="16" xfId="0" applyNumberFormat="1" applyFill="1" applyBorder="1" applyAlignment="1" applyProtection="1">
      <alignment horizontal="center" vertical="center"/>
    </xf>
    <xf numFmtId="49" fontId="0" fillId="0" borderId="10" xfId="0" applyNumberFormat="1" applyBorder="1" applyProtection="1">
      <protection locked="0"/>
    </xf>
    <xf numFmtId="0" fontId="2" fillId="4" borderId="2" xfId="0" applyFont="1" applyFill="1" applyBorder="1" applyAlignment="1">
      <alignment horizontal="center" vertical="center"/>
    </xf>
    <xf numFmtId="0" fontId="2" fillId="4" borderId="9" xfId="0" applyFont="1" applyFill="1" applyBorder="1" applyAlignment="1">
      <alignment horizontal="center" vertical="center"/>
    </xf>
    <xf numFmtId="0" fontId="0" fillId="4" borderId="9" xfId="0" applyFill="1" applyBorder="1" applyAlignment="1">
      <alignment vertical="center"/>
    </xf>
    <xf numFmtId="0" fontId="0" fillId="4" borderId="9" xfId="0" applyFill="1" applyBorder="1" applyAlignment="1" applyProtection="1">
      <alignment vertical="center"/>
      <protection locked="0"/>
    </xf>
    <xf numFmtId="0" fontId="0" fillId="4" borderId="9" xfId="0" applyFill="1" applyBorder="1" applyProtection="1">
      <protection locked="0"/>
    </xf>
    <xf numFmtId="0" fontId="0" fillId="4" borderId="12" xfId="0" applyFill="1" applyBorder="1" applyAlignment="1">
      <alignment vertical="center"/>
    </xf>
    <xf numFmtId="0" fontId="0" fillId="5" borderId="0" xfId="0" applyFill="1"/>
    <xf numFmtId="166" fontId="0" fillId="6" borderId="4" xfId="0" applyNumberFormat="1" applyFill="1" applyBorder="1" applyAlignment="1" applyProtection="1">
      <alignment horizontal="center" vertical="center"/>
      <protection locked="0"/>
    </xf>
    <xf numFmtId="166" fontId="0" fillId="6" borderId="5" xfId="0" applyNumberFormat="1" applyFill="1" applyBorder="1" applyAlignment="1" applyProtection="1">
      <alignment horizontal="center" vertical="center"/>
      <protection locked="0"/>
    </xf>
    <xf numFmtId="49" fontId="0" fillId="6" borderId="19" xfId="0" applyNumberFormat="1" applyFill="1" applyBorder="1" applyProtection="1">
      <protection locked="0"/>
    </xf>
    <xf numFmtId="166" fontId="0" fillId="6" borderId="6" xfId="0" applyNumberFormat="1" applyFill="1" applyBorder="1" applyAlignment="1" applyProtection="1">
      <alignment horizontal="center" vertical="center"/>
      <protection locked="0"/>
    </xf>
    <xf numFmtId="166" fontId="0" fillId="6" borderId="1" xfId="0" applyNumberFormat="1" applyFill="1" applyBorder="1" applyAlignment="1" applyProtection="1">
      <alignment horizontal="center" vertical="center"/>
      <protection locked="0"/>
    </xf>
    <xf numFmtId="49" fontId="0" fillId="6" borderId="20" xfId="0" applyNumberFormat="1" applyFill="1" applyBorder="1" applyProtection="1">
      <protection locked="0"/>
    </xf>
    <xf numFmtId="166" fontId="0" fillId="6" borderId="7" xfId="0" applyNumberFormat="1" applyFill="1" applyBorder="1" applyAlignment="1" applyProtection="1">
      <alignment horizontal="center" vertical="center"/>
      <protection locked="0"/>
    </xf>
    <xf numFmtId="166" fontId="0" fillId="6" borderId="8" xfId="0" applyNumberFormat="1" applyFill="1" applyBorder="1" applyAlignment="1" applyProtection="1">
      <alignment horizontal="center" vertical="center"/>
      <protection locked="0"/>
    </xf>
    <xf numFmtId="49" fontId="0" fillId="6" borderId="21" xfId="0" applyNumberFormat="1" applyFill="1" applyBorder="1" applyProtection="1">
      <protection locked="0"/>
    </xf>
    <xf numFmtId="0" fontId="6" fillId="4" borderId="9" xfId="0" applyFont="1" applyFill="1" applyBorder="1" applyAlignment="1">
      <alignment horizontal="center" vertical="center"/>
    </xf>
    <xf numFmtId="164" fontId="0" fillId="7" borderId="5" xfId="0" applyNumberFormat="1" applyFill="1" applyBorder="1" applyAlignment="1" applyProtection="1">
      <alignment horizontal="center" vertical="center"/>
    </xf>
    <xf numFmtId="165" fontId="0" fillId="7" borderId="13" xfId="1" applyNumberFormat="1" applyFont="1" applyFill="1" applyBorder="1" applyAlignment="1" applyProtection="1">
      <alignment horizontal="center" vertical="center"/>
    </xf>
    <xf numFmtId="164" fontId="0" fillId="7" borderId="1" xfId="0" applyNumberFormat="1" applyFill="1" applyBorder="1" applyAlignment="1" applyProtection="1">
      <alignment horizontal="center" vertical="center"/>
    </xf>
    <xf numFmtId="165" fontId="0" fillId="7" borderId="14" xfId="1" applyNumberFormat="1" applyFont="1" applyFill="1" applyBorder="1" applyAlignment="1" applyProtection="1">
      <alignment horizontal="center" vertical="center"/>
    </xf>
    <xf numFmtId="164" fontId="5" fillId="7" borderId="8" xfId="0" applyNumberFormat="1" applyFont="1" applyFill="1" applyBorder="1" applyAlignment="1" applyProtection="1">
      <alignment horizontal="center" vertical="center"/>
    </xf>
    <xf numFmtId="165" fontId="5" fillId="7" borderId="15" xfId="1" applyNumberFormat="1" applyFont="1" applyFill="1" applyBorder="1" applyAlignment="1" applyProtection="1">
      <alignment horizontal="center" vertical="center"/>
    </xf>
    <xf numFmtId="164" fontId="5" fillId="7" borderId="1" xfId="0" applyNumberFormat="1" applyFont="1" applyFill="1" applyBorder="1" applyAlignment="1" applyProtection="1">
      <alignment horizontal="center" vertical="center"/>
    </xf>
    <xf numFmtId="165" fontId="5" fillId="7" borderId="14" xfId="1" applyNumberFormat="1" applyFont="1" applyFill="1" applyBorder="1" applyAlignment="1" applyProtection="1">
      <alignment horizontal="center" vertical="center"/>
    </xf>
    <xf numFmtId="166" fontId="6" fillId="4" borderId="16" xfId="0" applyNumberFormat="1" applyFont="1" applyFill="1" applyBorder="1" applyAlignment="1" applyProtection="1">
      <alignment horizontal="center" vertical="center"/>
    </xf>
    <xf numFmtId="166" fontId="6" fillId="4" borderId="23" xfId="0" applyNumberFormat="1" applyFont="1" applyFill="1" applyBorder="1" applyAlignment="1" applyProtection="1">
      <alignment horizontal="center" vertical="center"/>
    </xf>
    <xf numFmtId="164" fontId="6" fillId="4" borderId="23" xfId="0" applyNumberFormat="1" applyFont="1" applyFill="1" applyBorder="1" applyAlignment="1" applyProtection="1">
      <alignment horizontal="center" vertical="center"/>
    </xf>
    <xf numFmtId="165" fontId="6" fillId="4" borderId="17" xfId="1" applyNumberFormat="1" applyFont="1" applyFill="1" applyBorder="1" applyAlignment="1" applyProtection="1">
      <alignment horizontal="center" vertical="center"/>
    </xf>
    <xf numFmtId="0" fontId="0" fillId="9" borderId="0" xfId="0" applyFill="1" applyBorder="1"/>
    <xf numFmtId="0" fontId="2" fillId="9" borderId="32" xfId="0" applyFont="1" applyFill="1" applyBorder="1" applyAlignment="1">
      <alignment horizontal="center" vertical="center"/>
    </xf>
    <xf numFmtId="0" fontId="0" fillId="9" borderId="33" xfId="0" applyFill="1" applyBorder="1"/>
    <xf numFmtId="0" fontId="0" fillId="9" borderId="34" xfId="0" applyFill="1" applyBorder="1"/>
    <xf numFmtId="0" fontId="0" fillId="9" borderId="37" xfId="0" applyFill="1" applyBorder="1"/>
    <xf numFmtId="0" fontId="0" fillId="9" borderId="38" xfId="0" applyFill="1" applyBorder="1"/>
    <xf numFmtId="0" fontId="2" fillId="9" borderId="33" xfId="0" applyFont="1" applyFill="1" applyBorder="1" applyAlignment="1">
      <alignment horizontal="center" vertical="center"/>
    </xf>
    <xf numFmtId="0" fontId="0" fillId="9" borderId="39" xfId="0" applyFill="1" applyBorder="1"/>
    <xf numFmtId="0" fontId="0" fillId="9" borderId="40" xfId="0" applyFill="1" applyBorder="1"/>
    <xf numFmtId="0" fontId="0" fillId="9" borderId="41" xfId="0" applyFill="1" applyBorder="1"/>
    <xf numFmtId="0" fontId="0" fillId="9" borderId="0" xfId="0" applyFill="1"/>
    <xf numFmtId="0" fontId="2" fillId="10" borderId="2" xfId="0" applyFont="1" applyFill="1" applyBorder="1" applyAlignment="1">
      <alignment vertical="center"/>
    </xf>
    <xf numFmtId="164" fontId="0" fillId="2" borderId="10" xfId="0" applyNumberFormat="1" applyFill="1" applyBorder="1" applyAlignment="1" applyProtection="1">
      <alignment horizontal="center" vertical="center"/>
    </xf>
    <xf numFmtId="164" fontId="0" fillId="2" borderId="3" xfId="0" applyNumberFormat="1" applyFill="1" applyBorder="1" applyAlignment="1" applyProtection="1">
      <alignment horizontal="center" vertical="center"/>
    </xf>
    <xf numFmtId="164" fontId="0" fillId="2" borderId="11" xfId="0" applyNumberFormat="1" applyFill="1" applyBorder="1" applyAlignment="1" applyProtection="1">
      <alignment horizontal="center" vertical="center"/>
    </xf>
    <xf numFmtId="164" fontId="0" fillId="2" borderId="18" xfId="0" applyNumberFormat="1" applyFill="1" applyBorder="1" applyAlignment="1" applyProtection="1">
      <alignment horizontal="center" vertical="center"/>
    </xf>
    <xf numFmtId="0" fontId="2" fillId="3" borderId="45" xfId="0" applyFont="1" applyFill="1" applyBorder="1" applyAlignment="1" applyProtection="1">
      <alignment horizontal="center" vertical="center"/>
    </xf>
    <xf numFmtId="0" fontId="2" fillId="3" borderId="47" xfId="0" applyFont="1" applyFill="1" applyBorder="1" applyAlignment="1" applyProtection="1">
      <alignment horizontal="center" vertical="center"/>
    </xf>
    <xf numFmtId="49" fontId="0" fillId="0" borderId="24" xfId="0" applyNumberFormat="1" applyBorder="1" applyProtection="1">
      <protection locked="0"/>
    </xf>
    <xf numFmtId="49" fontId="0" fillId="0" borderId="25" xfId="0" applyNumberFormat="1" applyBorder="1" applyProtection="1">
      <protection locked="0"/>
    </xf>
    <xf numFmtId="49" fontId="0" fillId="0" borderId="26" xfId="0" applyNumberFormat="1" applyBorder="1" applyProtection="1">
      <protection locked="0"/>
    </xf>
    <xf numFmtId="164" fontId="0" fillId="0" borderId="27" xfId="0" applyNumberFormat="1" applyBorder="1" applyProtection="1">
      <protection locked="0"/>
    </xf>
    <xf numFmtId="0" fontId="0" fillId="0" borderId="0" xfId="0" applyNumberFormat="1" applyProtection="1"/>
    <xf numFmtId="0" fontId="0" fillId="0" borderId="54" xfId="0" applyNumberFormat="1" applyBorder="1" applyProtection="1"/>
    <xf numFmtId="0" fontId="0" fillId="0" borderId="55" xfId="0" applyNumberFormat="1" applyBorder="1" applyProtection="1"/>
    <xf numFmtId="0" fontId="0" fillId="0" borderId="56" xfId="0" applyNumberFormat="1" applyBorder="1" applyProtection="1"/>
    <xf numFmtId="164" fontId="5" fillId="7" borderId="5" xfId="0" applyNumberFormat="1" applyFont="1" applyFill="1" applyBorder="1" applyAlignment="1" applyProtection="1">
      <alignment horizontal="center" vertical="center"/>
    </xf>
    <xf numFmtId="165" fontId="5" fillId="7" borderId="13" xfId="1" applyNumberFormat="1" applyFont="1" applyFill="1" applyBorder="1" applyAlignment="1" applyProtection="1">
      <alignment horizontal="center" vertical="center"/>
    </xf>
    <xf numFmtId="0" fontId="0" fillId="13" borderId="0" xfId="0" applyFill="1" applyProtection="1"/>
    <xf numFmtId="49" fontId="0" fillId="7" borderId="54" xfId="0" applyNumberFormat="1" applyFill="1" applyBorder="1" applyAlignment="1" applyProtection="1">
      <protection locked="0"/>
    </xf>
    <xf numFmtId="49" fontId="0" fillId="7" borderId="55" xfId="0" applyNumberFormat="1" applyFill="1" applyBorder="1" applyAlignment="1" applyProtection="1">
      <protection locked="0"/>
    </xf>
    <xf numFmtId="0" fontId="14" fillId="16" borderId="2" xfId="0" applyFont="1" applyFill="1" applyBorder="1" applyAlignment="1" applyProtection="1">
      <alignment horizontal="center" vertical="center"/>
    </xf>
    <xf numFmtId="49" fontId="0" fillId="7" borderId="62" xfId="0" applyNumberFormat="1" applyFill="1" applyBorder="1" applyProtection="1">
      <protection locked="0"/>
    </xf>
    <xf numFmtId="0" fontId="2" fillId="12" borderId="22" xfId="0" applyFont="1" applyFill="1" applyBorder="1" applyAlignment="1" applyProtection="1">
      <alignment horizontal="center" vertical="center"/>
    </xf>
    <xf numFmtId="0" fontId="0" fillId="7" borderId="55" xfId="0" applyFill="1" applyBorder="1" applyAlignment="1" applyProtection="1">
      <protection locked="0"/>
    </xf>
    <xf numFmtId="0" fontId="0" fillId="7" borderId="55" xfId="0" applyFill="1" applyBorder="1" applyProtection="1">
      <protection locked="0"/>
    </xf>
    <xf numFmtId="0" fontId="0" fillId="7" borderId="56" xfId="0" applyFill="1" applyBorder="1" applyProtection="1">
      <protection locked="0"/>
    </xf>
    <xf numFmtId="0" fontId="15" fillId="17" borderId="2" xfId="0" applyFont="1" applyFill="1" applyBorder="1" applyAlignment="1">
      <alignment horizontal="center" vertical="center"/>
    </xf>
    <xf numFmtId="0" fontId="0" fillId="8" borderId="29" xfId="2" applyFont="1" applyBorder="1" applyAlignment="1">
      <alignment horizontal="left" vertical="top" wrapText="1"/>
    </xf>
    <xf numFmtId="0" fontId="0" fillId="8" borderId="30" xfId="2" applyFont="1" applyBorder="1" applyAlignment="1">
      <alignment horizontal="left" vertical="top" wrapText="1"/>
    </xf>
    <xf numFmtId="0" fontId="0" fillId="8" borderId="31" xfId="2" applyFont="1" applyBorder="1" applyAlignment="1">
      <alignment horizontal="left" vertical="top" wrapText="1"/>
    </xf>
    <xf numFmtId="0" fontId="0" fillId="8" borderId="35" xfId="2" applyFont="1" applyBorder="1" applyAlignment="1">
      <alignment horizontal="left" vertical="top" wrapText="1"/>
    </xf>
    <xf numFmtId="0" fontId="0" fillId="8" borderId="28" xfId="2" applyFont="1" applyBorder="1" applyAlignment="1">
      <alignment horizontal="left" vertical="top" wrapText="1"/>
    </xf>
    <xf numFmtId="0" fontId="0" fillId="8" borderId="36" xfId="2" applyFont="1" applyBorder="1" applyAlignment="1">
      <alignment horizontal="left" vertical="top" wrapText="1"/>
    </xf>
    <xf numFmtId="0" fontId="0" fillId="8" borderId="42" xfId="2" applyFont="1" applyBorder="1" applyAlignment="1">
      <alignment horizontal="left" vertical="top" wrapText="1"/>
    </xf>
    <xf numFmtId="0" fontId="0" fillId="8" borderId="43" xfId="2" applyFont="1" applyBorder="1" applyAlignment="1">
      <alignment horizontal="left" vertical="top" wrapText="1"/>
    </xf>
    <xf numFmtId="0" fontId="0" fillId="8" borderId="44" xfId="2" applyFont="1" applyBorder="1" applyAlignment="1">
      <alignment horizontal="left" vertical="top" wrapText="1"/>
    </xf>
    <xf numFmtId="0" fontId="9" fillId="10" borderId="45" xfId="0" applyFont="1" applyFill="1" applyBorder="1" applyAlignment="1">
      <alignment horizontal="left" vertical="top" wrapText="1"/>
    </xf>
    <xf numFmtId="0" fontId="9" fillId="10" borderId="46" xfId="0" applyFont="1" applyFill="1" applyBorder="1" applyAlignment="1">
      <alignment horizontal="left" vertical="top" wrapText="1"/>
    </xf>
    <xf numFmtId="0" fontId="9" fillId="10" borderId="47" xfId="0" applyFont="1" applyFill="1" applyBorder="1" applyAlignment="1">
      <alignment horizontal="left" vertical="top" wrapText="1"/>
    </xf>
    <xf numFmtId="0" fontId="9" fillId="10" borderId="12" xfId="0" applyFont="1" applyFill="1" applyBorder="1" applyAlignment="1">
      <alignment horizontal="left" vertical="top" wrapText="1"/>
    </xf>
    <xf numFmtId="0" fontId="9" fillId="10" borderId="48" xfId="0" applyFont="1" applyFill="1" applyBorder="1" applyAlignment="1">
      <alignment horizontal="left" vertical="top" wrapText="1"/>
    </xf>
    <xf numFmtId="0" fontId="9" fillId="10" borderId="49" xfId="0" applyFont="1" applyFill="1" applyBorder="1" applyAlignment="1">
      <alignment horizontal="left" vertical="top" wrapText="1"/>
    </xf>
    <xf numFmtId="0" fontId="11" fillId="11" borderId="50" xfId="3" applyFont="1" applyFill="1" applyBorder="1" applyAlignment="1">
      <alignment horizontal="left" vertical="center"/>
    </xf>
    <xf numFmtId="0" fontId="11" fillId="11" borderId="51" xfId="3" applyFont="1" applyFill="1" applyBorder="1" applyAlignment="1">
      <alignment horizontal="left" vertical="center"/>
    </xf>
    <xf numFmtId="0" fontId="11" fillId="11" borderId="19" xfId="3" applyFont="1" applyFill="1" applyBorder="1" applyAlignment="1">
      <alignment horizontal="left" vertical="center"/>
    </xf>
    <xf numFmtId="0" fontId="11" fillId="11" borderId="52" xfId="3" applyFont="1" applyFill="1" applyBorder="1" applyAlignment="1">
      <alignment horizontal="left" vertical="center"/>
    </xf>
    <xf numFmtId="0" fontId="11" fillId="11" borderId="53" xfId="3" applyFont="1" applyFill="1" applyBorder="1" applyAlignment="1">
      <alignment horizontal="left" vertical="center"/>
    </xf>
    <xf numFmtId="0" fontId="11" fillId="11" borderId="21" xfId="3" applyFont="1" applyFill="1" applyBorder="1" applyAlignment="1">
      <alignment horizontal="left" vertical="center"/>
    </xf>
    <xf numFmtId="0" fontId="7" fillId="3" borderId="16" xfId="0" applyFont="1" applyFill="1" applyBorder="1" applyAlignment="1" applyProtection="1">
      <alignment horizontal="center" vertical="center"/>
    </xf>
    <xf numFmtId="0" fontId="7" fillId="3" borderId="23" xfId="0" applyFont="1" applyFill="1" applyBorder="1" applyAlignment="1" applyProtection="1">
      <alignment horizontal="center" vertical="center"/>
    </xf>
    <xf numFmtId="0" fontId="7" fillId="3" borderId="17" xfId="0" applyFont="1" applyFill="1" applyBorder="1" applyAlignment="1" applyProtection="1">
      <alignment horizontal="center" vertical="center"/>
    </xf>
    <xf numFmtId="0" fontId="7" fillId="14" borderId="57" xfId="0" applyFont="1" applyFill="1" applyBorder="1" applyAlignment="1" applyProtection="1">
      <alignment horizontal="left" vertical="center" wrapText="1"/>
    </xf>
    <xf numFmtId="0" fontId="7" fillId="14" borderId="58" xfId="0" applyFont="1" applyFill="1" applyBorder="1" applyAlignment="1" applyProtection="1">
      <alignment horizontal="left" vertical="center" wrapText="1"/>
    </xf>
    <xf numFmtId="0" fontId="7" fillId="14" borderId="59" xfId="0" applyFont="1" applyFill="1" applyBorder="1" applyAlignment="1" applyProtection="1">
      <alignment horizontal="left" vertical="center" wrapText="1"/>
    </xf>
    <xf numFmtId="0" fontId="7" fillId="14" borderId="6" xfId="0" applyFont="1" applyFill="1" applyBorder="1" applyAlignment="1" applyProtection="1">
      <alignment horizontal="left" vertical="center" wrapText="1"/>
    </xf>
    <xf numFmtId="0" fontId="7" fillId="14" borderId="1" xfId="0" applyFont="1" applyFill="1" applyBorder="1" applyAlignment="1" applyProtection="1">
      <alignment horizontal="left" vertical="center" wrapText="1"/>
    </xf>
    <xf numFmtId="0" fontId="7" fillId="14" borderId="14" xfId="0" applyFont="1" applyFill="1" applyBorder="1" applyAlignment="1" applyProtection="1">
      <alignment horizontal="left" vertical="center" wrapText="1"/>
    </xf>
    <xf numFmtId="0" fontId="7" fillId="14" borderId="7" xfId="0" applyFont="1" applyFill="1" applyBorder="1" applyAlignment="1" applyProtection="1">
      <alignment horizontal="left" vertical="center" wrapText="1"/>
    </xf>
    <xf numFmtId="0" fontId="7" fillId="14" borderId="8" xfId="0" applyFont="1" applyFill="1" applyBorder="1" applyAlignment="1" applyProtection="1">
      <alignment horizontal="left" vertical="center" wrapText="1"/>
    </xf>
    <xf numFmtId="0" fontId="7" fillId="14" borderId="15" xfId="0" applyFont="1" applyFill="1" applyBorder="1" applyAlignment="1" applyProtection="1">
      <alignment horizontal="left" vertical="center" wrapText="1"/>
    </xf>
    <xf numFmtId="0" fontId="13" fillId="15" borderId="45" xfId="0" applyFont="1" applyFill="1" applyBorder="1" applyAlignment="1" applyProtection="1">
      <alignment horizontal="center" vertical="center"/>
    </xf>
    <xf numFmtId="0" fontId="13" fillId="15" borderId="46" xfId="0" applyFont="1" applyFill="1" applyBorder="1" applyAlignment="1" applyProtection="1">
      <alignment horizontal="center" vertical="center"/>
    </xf>
    <xf numFmtId="0" fontId="13" fillId="15" borderId="47" xfId="0" applyFont="1" applyFill="1" applyBorder="1" applyAlignment="1" applyProtection="1">
      <alignment horizontal="center" vertical="center"/>
    </xf>
    <xf numFmtId="49" fontId="0" fillId="15" borderId="60" xfId="0" applyNumberFormat="1" applyFill="1" applyBorder="1" applyAlignment="1" applyProtection="1">
      <alignment horizontal="left" vertical="top" wrapText="1"/>
      <protection locked="0"/>
    </xf>
    <xf numFmtId="49" fontId="0" fillId="15" borderId="0" xfId="0" applyNumberFormat="1" applyFill="1" applyBorder="1" applyAlignment="1" applyProtection="1">
      <alignment horizontal="left" vertical="top" wrapText="1"/>
      <protection locked="0"/>
    </xf>
    <xf numFmtId="49" fontId="0" fillId="15" borderId="61" xfId="0" applyNumberFormat="1" applyFill="1" applyBorder="1" applyAlignment="1" applyProtection="1">
      <alignment horizontal="left" vertical="top" wrapText="1"/>
      <protection locked="0"/>
    </xf>
    <xf numFmtId="49" fontId="0" fillId="15" borderId="12" xfId="0" applyNumberFormat="1" applyFill="1" applyBorder="1" applyAlignment="1" applyProtection="1">
      <alignment horizontal="left" vertical="top" wrapText="1"/>
      <protection locked="0"/>
    </xf>
    <xf numFmtId="49" fontId="0" fillId="15" borderId="48" xfId="0" applyNumberFormat="1" applyFill="1" applyBorder="1" applyAlignment="1" applyProtection="1">
      <alignment horizontal="left" vertical="top" wrapText="1"/>
      <protection locked="0"/>
    </xf>
    <xf numFmtId="49" fontId="0" fillId="15" borderId="49" xfId="0" applyNumberFormat="1" applyFill="1" applyBorder="1" applyAlignment="1" applyProtection="1">
      <alignment horizontal="left" vertical="top" wrapText="1"/>
      <protection locked="0"/>
    </xf>
  </cellXfs>
  <cellStyles count="4">
    <cellStyle name="Hyperlink" xfId="3" builtinId="8"/>
    <cellStyle name="Normal" xfId="0" builtinId="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1400175</xdr:colOff>
          <xdr:row>24</xdr:row>
          <xdr:rowOff>76200</xdr:rowOff>
        </xdr:from>
        <xdr:to>
          <xdr:col>2</xdr:col>
          <xdr:colOff>104775</xdr:colOff>
          <xdr:row>25</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1400175</xdr:colOff>
          <xdr:row>22</xdr:row>
          <xdr:rowOff>9525</xdr:rowOff>
        </xdr:from>
        <xdr:to>
          <xdr:col>2</xdr:col>
          <xdr:colOff>104775</xdr:colOff>
          <xdr:row>23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22</xdr:row>
          <xdr:rowOff>9525</xdr:rowOff>
        </xdr:from>
        <xdr:to>
          <xdr:col>0</xdr:col>
          <xdr:colOff>1162050</xdr:colOff>
          <xdr:row>23</xdr:row>
          <xdr:rowOff>47625</xdr:rowOff>
        </xdr:to>
        <xdr:sp macro="" textlink="">
          <xdr:nvSpPr>
            <xdr:cNvPr id="1029" name="Check Box 1"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First Break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24</xdr:row>
          <xdr:rowOff>133350</xdr:rowOff>
        </xdr:from>
        <xdr:to>
          <xdr:col>0</xdr:col>
          <xdr:colOff>1162050</xdr:colOff>
          <xdr:row>25</xdr:row>
          <xdr:rowOff>171450</xdr:rowOff>
        </xdr:to>
        <xdr:sp macro="" textlink="">
          <xdr:nvSpPr>
            <xdr:cNvPr id="1030" name="Check Box 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Lunch Break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23</xdr:row>
          <xdr:rowOff>76200</xdr:rowOff>
        </xdr:from>
        <xdr:to>
          <xdr:col>0</xdr:col>
          <xdr:colOff>1162050</xdr:colOff>
          <xdr:row>24</xdr:row>
          <xdr:rowOff>114300</xdr:rowOff>
        </xdr:to>
        <xdr:sp macro="" textlink="">
          <xdr:nvSpPr>
            <xdr:cNvPr id="1031" name="Check Box 2"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Log Second Break</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3</xdr:row>
          <xdr:rowOff>76200</xdr:rowOff>
        </xdr:from>
        <xdr:to>
          <xdr:col>5</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76200</xdr:rowOff>
        </xdr:from>
        <xdr:to>
          <xdr:col>14</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Collins" id="{0216F7C3-1935-44CD-A533-95E8149A4E0A}" userId="Jeffreys, Duncan                            Coll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1" dT="2021-03-23T19:08:06.74" personId="{0216F7C3-1935-44CD-A533-95E8149A4E0A}" id="{CC9C58FD-CAE9-407B-8805-926CC5E24A1C}">
    <text>Website:
https://github.com/JeffreysDA
Contact:
jeffreysda@gmail.com</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17/10/relationships/threadedComment" Target="../threadedComments/threadedComment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sqref="A1:I30"/>
    </sheetView>
  </sheetViews>
  <sheetFormatPr defaultRowHeight="15" x14ac:dyDescent="0.25"/>
  <cols>
    <col min="1" max="9" width="9.140625" style="62"/>
    <col min="10" max="16384" width="9.140625" style="52"/>
  </cols>
  <sheetData>
    <row r="1" spans="1:21" ht="15" customHeight="1" x14ac:dyDescent="0.25">
      <c r="A1" s="90" t="s">
        <v>18</v>
      </c>
      <c r="B1" s="91"/>
      <c r="C1" s="91"/>
      <c r="D1" s="91"/>
      <c r="E1" s="91"/>
      <c r="F1" s="91"/>
      <c r="G1" s="91"/>
      <c r="H1" s="91"/>
      <c r="I1" s="92"/>
      <c r="K1" s="53" t="s">
        <v>19</v>
      </c>
      <c r="L1" s="54"/>
      <c r="M1" s="54"/>
      <c r="N1" s="54"/>
      <c r="O1" s="54"/>
      <c r="P1" s="54"/>
      <c r="Q1" s="54"/>
      <c r="R1" s="55"/>
    </row>
    <row r="2" spans="1:21" x14ac:dyDescent="0.25">
      <c r="A2" s="93"/>
      <c r="B2" s="94"/>
      <c r="C2" s="94"/>
      <c r="D2" s="94"/>
      <c r="E2" s="94"/>
      <c r="F2" s="94"/>
      <c r="G2" s="94"/>
      <c r="H2" s="94"/>
      <c r="I2" s="95"/>
      <c r="K2" s="56"/>
      <c r="R2" s="57"/>
    </row>
    <row r="3" spans="1:21" x14ac:dyDescent="0.25">
      <c r="A3" s="93"/>
      <c r="B3" s="94"/>
      <c r="C3" s="94"/>
      <c r="D3" s="94"/>
      <c r="E3" s="94"/>
      <c r="F3" s="94"/>
      <c r="G3" s="94"/>
      <c r="H3" s="94"/>
      <c r="I3" s="95"/>
      <c r="K3" s="56"/>
      <c r="R3" s="57"/>
    </row>
    <row r="4" spans="1:21" x14ac:dyDescent="0.25">
      <c r="A4" s="93"/>
      <c r="B4" s="94"/>
      <c r="C4" s="94"/>
      <c r="D4" s="94"/>
      <c r="E4" s="94"/>
      <c r="F4" s="94"/>
      <c r="G4" s="94"/>
      <c r="H4" s="94"/>
      <c r="I4" s="95"/>
      <c r="K4" s="53" t="s">
        <v>20</v>
      </c>
      <c r="L4" s="54"/>
      <c r="M4" s="54"/>
      <c r="N4" s="54"/>
      <c r="O4" s="54"/>
      <c r="P4" s="58"/>
      <c r="Q4" s="54"/>
      <c r="R4" s="54"/>
      <c r="S4" s="54"/>
      <c r="T4" s="54"/>
      <c r="U4" s="55"/>
    </row>
    <row r="5" spans="1:21" x14ac:dyDescent="0.25">
      <c r="A5" s="93"/>
      <c r="B5" s="94"/>
      <c r="C5" s="94"/>
      <c r="D5" s="94"/>
      <c r="E5" s="94"/>
      <c r="F5" s="94"/>
      <c r="G5" s="94"/>
      <c r="H5" s="94"/>
      <c r="I5" s="95"/>
      <c r="K5" s="56"/>
      <c r="U5" s="57"/>
    </row>
    <row r="6" spans="1:21" x14ac:dyDescent="0.25">
      <c r="A6" s="93"/>
      <c r="B6" s="94"/>
      <c r="C6" s="94"/>
      <c r="D6" s="94"/>
      <c r="E6" s="94"/>
      <c r="F6" s="94"/>
      <c r="G6" s="94"/>
      <c r="H6" s="94"/>
      <c r="I6" s="95"/>
      <c r="K6" s="56"/>
      <c r="U6" s="57"/>
    </row>
    <row r="7" spans="1:21" x14ac:dyDescent="0.25">
      <c r="A7" s="93"/>
      <c r="B7" s="94"/>
      <c r="C7" s="94"/>
      <c r="D7" s="94"/>
      <c r="E7" s="94"/>
      <c r="F7" s="94"/>
      <c r="G7" s="94"/>
      <c r="H7" s="94"/>
      <c r="I7" s="95"/>
      <c r="K7" s="59"/>
      <c r="L7" s="60"/>
      <c r="M7" s="60"/>
      <c r="N7" s="60"/>
      <c r="O7" s="60"/>
      <c r="P7" s="60"/>
      <c r="Q7" s="60"/>
      <c r="R7" s="60"/>
      <c r="S7" s="60"/>
      <c r="T7" s="60"/>
      <c r="U7" s="61"/>
    </row>
    <row r="8" spans="1:21" x14ac:dyDescent="0.25">
      <c r="A8" s="93"/>
      <c r="B8" s="94"/>
      <c r="C8" s="94"/>
      <c r="D8" s="94"/>
      <c r="E8" s="94"/>
      <c r="F8" s="94"/>
      <c r="G8" s="94"/>
      <c r="H8" s="94"/>
      <c r="I8" s="95"/>
      <c r="K8" s="53" t="s">
        <v>21</v>
      </c>
      <c r="L8" s="54"/>
      <c r="M8" s="54"/>
      <c r="N8" s="54"/>
      <c r="O8" s="55"/>
      <c r="P8" s="53" t="s">
        <v>22</v>
      </c>
      <c r="Q8" s="54"/>
      <c r="R8" s="54"/>
      <c r="S8" s="54"/>
      <c r="T8" s="54"/>
      <c r="U8" s="55"/>
    </row>
    <row r="9" spans="1:21" x14ac:dyDescent="0.25">
      <c r="A9" s="93"/>
      <c r="B9" s="94"/>
      <c r="C9" s="94"/>
      <c r="D9" s="94"/>
      <c r="E9" s="94"/>
      <c r="F9" s="94"/>
      <c r="G9" s="94"/>
      <c r="H9" s="94"/>
      <c r="I9" s="95"/>
      <c r="K9" s="56"/>
      <c r="O9" s="57"/>
      <c r="P9" s="56"/>
      <c r="U9" s="57"/>
    </row>
    <row r="10" spans="1:21" x14ac:dyDescent="0.25">
      <c r="A10" s="93"/>
      <c r="B10" s="94"/>
      <c r="C10" s="94"/>
      <c r="D10" s="94"/>
      <c r="E10" s="94"/>
      <c r="F10" s="94"/>
      <c r="G10" s="94"/>
      <c r="H10" s="94"/>
      <c r="I10" s="95"/>
      <c r="K10" s="56"/>
      <c r="O10" s="57"/>
      <c r="P10" s="56"/>
      <c r="U10" s="57"/>
    </row>
    <row r="11" spans="1:21" x14ac:dyDescent="0.25">
      <c r="A11" s="93"/>
      <c r="B11" s="94"/>
      <c r="C11" s="94"/>
      <c r="D11" s="94"/>
      <c r="E11" s="94"/>
      <c r="F11" s="94"/>
      <c r="G11" s="94"/>
      <c r="H11" s="94"/>
      <c r="I11" s="95"/>
      <c r="K11" s="56"/>
      <c r="O11" s="57"/>
      <c r="P11" s="56"/>
      <c r="U11" s="57"/>
    </row>
    <row r="12" spans="1:21" x14ac:dyDescent="0.25">
      <c r="A12" s="93"/>
      <c r="B12" s="94"/>
      <c r="C12" s="94"/>
      <c r="D12" s="94"/>
      <c r="E12" s="94"/>
      <c r="F12" s="94"/>
      <c r="G12" s="94"/>
      <c r="H12" s="94"/>
      <c r="I12" s="95"/>
      <c r="K12" s="56"/>
      <c r="O12" s="57"/>
      <c r="P12" s="56"/>
      <c r="U12" s="57"/>
    </row>
    <row r="13" spans="1:21" x14ac:dyDescent="0.25">
      <c r="A13" s="93"/>
      <c r="B13" s="94"/>
      <c r="C13" s="94"/>
      <c r="D13" s="94"/>
      <c r="E13" s="94"/>
      <c r="F13" s="94"/>
      <c r="G13" s="94"/>
      <c r="H13" s="94"/>
      <c r="I13" s="95"/>
      <c r="K13" s="56"/>
      <c r="O13" s="57"/>
      <c r="P13" s="56"/>
      <c r="U13" s="57"/>
    </row>
    <row r="14" spans="1:21" x14ac:dyDescent="0.25">
      <c r="A14" s="93"/>
      <c r="B14" s="94"/>
      <c r="C14" s="94"/>
      <c r="D14" s="94"/>
      <c r="E14" s="94"/>
      <c r="F14" s="94"/>
      <c r="G14" s="94"/>
      <c r="H14" s="94"/>
      <c r="I14" s="95"/>
      <c r="K14" s="56"/>
      <c r="O14" s="57"/>
      <c r="P14" s="56"/>
      <c r="U14" s="57"/>
    </row>
    <row r="15" spans="1:21" x14ac:dyDescent="0.25">
      <c r="A15" s="93"/>
      <c r="B15" s="94"/>
      <c r="C15" s="94"/>
      <c r="D15" s="94"/>
      <c r="E15" s="94"/>
      <c r="F15" s="94"/>
      <c r="G15" s="94"/>
      <c r="H15" s="94"/>
      <c r="I15" s="95"/>
      <c r="K15" s="56"/>
      <c r="O15" s="57"/>
      <c r="P15" s="56"/>
      <c r="U15" s="57"/>
    </row>
    <row r="16" spans="1:21" x14ac:dyDescent="0.25">
      <c r="A16" s="93"/>
      <c r="B16" s="94"/>
      <c r="C16" s="94"/>
      <c r="D16" s="94"/>
      <c r="E16" s="94"/>
      <c r="F16" s="94"/>
      <c r="G16" s="94"/>
      <c r="H16" s="94"/>
      <c r="I16" s="95"/>
      <c r="K16" s="56"/>
      <c r="O16" s="57"/>
      <c r="P16" s="56"/>
      <c r="U16" s="57"/>
    </row>
    <row r="17" spans="1:21" x14ac:dyDescent="0.25">
      <c r="A17" s="93"/>
      <c r="B17" s="94"/>
      <c r="C17" s="94"/>
      <c r="D17" s="94"/>
      <c r="E17" s="94"/>
      <c r="F17" s="94"/>
      <c r="G17" s="94"/>
      <c r="H17" s="94"/>
      <c r="I17" s="95"/>
      <c r="K17" s="56"/>
      <c r="O17" s="57"/>
      <c r="P17" s="59"/>
      <c r="Q17" s="60"/>
      <c r="R17" s="60"/>
      <c r="S17" s="60"/>
      <c r="T17" s="60"/>
      <c r="U17" s="61"/>
    </row>
    <row r="18" spans="1:21" x14ac:dyDescent="0.25">
      <c r="A18" s="93"/>
      <c r="B18" s="94"/>
      <c r="C18" s="94"/>
      <c r="D18" s="94"/>
      <c r="E18" s="94"/>
      <c r="F18" s="94"/>
      <c r="G18" s="94"/>
      <c r="H18" s="94"/>
      <c r="I18" s="95"/>
      <c r="K18" s="56"/>
      <c r="O18" s="57"/>
    </row>
    <row r="19" spans="1:21" x14ac:dyDescent="0.25">
      <c r="A19" s="93"/>
      <c r="B19" s="94"/>
      <c r="C19" s="94"/>
      <c r="D19" s="94"/>
      <c r="E19" s="94"/>
      <c r="F19" s="94"/>
      <c r="G19" s="94"/>
      <c r="H19" s="94"/>
      <c r="I19" s="95"/>
      <c r="K19" s="56"/>
      <c r="O19" s="57"/>
    </row>
    <row r="20" spans="1:21" x14ac:dyDescent="0.25">
      <c r="A20" s="93"/>
      <c r="B20" s="94"/>
      <c r="C20" s="94"/>
      <c r="D20" s="94"/>
      <c r="E20" s="94"/>
      <c r="F20" s="94"/>
      <c r="G20" s="94"/>
      <c r="H20" s="94"/>
      <c r="I20" s="95"/>
      <c r="K20" s="56"/>
      <c r="O20" s="57"/>
    </row>
    <row r="21" spans="1:21" x14ac:dyDescent="0.25">
      <c r="A21" s="93"/>
      <c r="B21" s="94"/>
      <c r="C21" s="94"/>
      <c r="D21" s="94"/>
      <c r="E21" s="94"/>
      <c r="F21" s="94"/>
      <c r="G21" s="94"/>
      <c r="H21" s="94"/>
      <c r="I21" s="95"/>
      <c r="K21" s="56"/>
      <c r="O21" s="57"/>
    </row>
    <row r="22" spans="1:21" x14ac:dyDescent="0.25">
      <c r="A22" s="93"/>
      <c r="B22" s="94"/>
      <c r="C22" s="94"/>
      <c r="D22" s="94"/>
      <c r="E22" s="94"/>
      <c r="F22" s="94"/>
      <c r="G22" s="94"/>
      <c r="H22" s="94"/>
      <c r="I22" s="95"/>
      <c r="K22" s="56"/>
      <c r="O22" s="57"/>
    </row>
    <row r="23" spans="1:21" x14ac:dyDescent="0.25">
      <c r="A23" s="93"/>
      <c r="B23" s="94"/>
      <c r="C23" s="94"/>
      <c r="D23" s="94"/>
      <c r="E23" s="94"/>
      <c r="F23" s="94"/>
      <c r="G23" s="94"/>
      <c r="H23" s="94"/>
      <c r="I23" s="95"/>
      <c r="K23" s="56"/>
      <c r="O23" s="57"/>
    </row>
    <row r="24" spans="1:21" x14ac:dyDescent="0.25">
      <c r="A24" s="93"/>
      <c r="B24" s="94"/>
      <c r="C24" s="94"/>
      <c r="D24" s="94"/>
      <c r="E24" s="94"/>
      <c r="F24" s="94"/>
      <c r="G24" s="94"/>
      <c r="H24" s="94"/>
      <c r="I24" s="95"/>
      <c r="K24" s="56"/>
      <c r="O24" s="57"/>
    </row>
    <row r="25" spans="1:21" x14ac:dyDescent="0.25">
      <c r="A25" s="93"/>
      <c r="B25" s="94"/>
      <c r="C25" s="94"/>
      <c r="D25" s="94"/>
      <c r="E25" s="94"/>
      <c r="F25" s="94"/>
      <c r="G25" s="94"/>
      <c r="H25" s="94"/>
      <c r="I25" s="95"/>
      <c r="K25" s="56"/>
      <c r="O25" s="57"/>
    </row>
    <row r="26" spans="1:21" x14ac:dyDescent="0.25">
      <c r="A26" s="93"/>
      <c r="B26" s="94"/>
      <c r="C26" s="94"/>
      <c r="D26" s="94"/>
      <c r="E26" s="94"/>
      <c r="F26" s="94"/>
      <c r="G26" s="94"/>
      <c r="H26" s="94"/>
      <c r="I26" s="95"/>
      <c r="K26" s="56"/>
      <c r="O26" s="57"/>
    </row>
    <row r="27" spans="1:21" x14ac:dyDescent="0.25">
      <c r="A27" s="93"/>
      <c r="B27" s="94"/>
      <c r="C27" s="94"/>
      <c r="D27" s="94"/>
      <c r="E27" s="94"/>
      <c r="F27" s="94"/>
      <c r="G27" s="94"/>
      <c r="H27" s="94"/>
      <c r="I27" s="95"/>
      <c r="K27" s="56"/>
      <c r="O27" s="57"/>
    </row>
    <row r="28" spans="1:21" x14ac:dyDescent="0.25">
      <c r="A28" s="93"/>
      <c r="B28" s="94"/>
      <c r="C28" s="94"/>
      <c r="D28" s="94"/>
      <c r="E28" s="94"/>
      <c r="F28" s="94"/>
      <c r="G28" s="94"/>
      <c r="H28" s="94"/>
      <c r="I28" s="95"/>
      <c r="K28" s="56"/>
      <c r="O28" s="57"/>
    </row>
    <row r="29" spans="1:21" x14ac:dyDescent="0.25">
      <c r="A29" s="93"/>
      <c r="B29" s="94"/>
      <c r="C29" s="94"/>
      <c r="D29" s="94"/>
      <c r="E29" s="94"/>
      <c r="F29" s="94"/>
      <c r="G29" s="94"/>
      <c r="H29" s="94"/>
      <c r="I29" s="95"/>
      <c r="K29" s="59"/>
      <c r="L29" s="60"/>
      <c r="M29" s="60"/>
      <c r="N29" s="60"/>
      <c r="O29" s="61"/>
    </row>
    <row r="30" spans="1:21" ht="15.75" thickBot="1" x14ac:dyDescent="0.3">
      <c r="A30" s="96"/>
      <c r="B30" s="97"/>
      <c r="C30" s="97"/>
      <c r="D30" s="97"/>
      <c r="E30" s="97"/>
      <c r="F30" s="97"/>
      <c r="G30" s="97"/>
      <c r="H30" s="97"/>
      <c r="I30" s="98"/>
    </row>
    <row r="31" spans="1:21" ht="15.75" thickBot="1" x14ac:dyDescent="0.3"/>
    <row r="32" spans="1:21" x14ac:dyDescent="0.25">
      <c r="C32" s="99" t="s">
        <v>23</v>
      </c>
      <c r="D32" s="100"/>
      <c r="E32" s="100"/>
      <c r="F32" s="101"/>
    </row>
    <row r="33" spans="3:6" ht="15.75" thickBot="1" x14ac:dyDescent="0.3">
      <c r="C33" s="102"/>
      <c r="D33" s="103"/>
      <c r="E33" s="103"/>
      <c r="F33" s="104"/>
    </row>
    <row r="34" spans="3:6" ht="15.75" thickBot="1" x14ac:dyDescent="0.3">
      <c r="C34" s="63" t="s">
        <v>24</v>
      </c>
      <c r="D34" s="105" t="s">
        <v>25</v>
      </c>
      <c r="E34" s="106"/>
      <c r="F34" s="107"/>
    </row>
    <row r="35" spans="3:6" ht="15.75" thickBot="1" x14ac:dyDescent="0.3">
      <c r="C35" s="63" t="s">
        <v>26</v>
      </c>
      <c r="D35" s="108" t="s">
        <v>27</v>
      </c>
      <c r="E35" s="109"/>
      <c r="F35" s="110"/>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21"/>
  <sheetViews>
    <sheetView workbookViewId="0">
      <selection activeCell="B5" sqref="B5"/>
    </sheetView>
  </sheetViews>
  <sheetFormatPr defaultRowHeight="15" x14ac:dyDescent="0.25"/>
  <cols>
    <col min="1" max="1" width="23.7109375" style="29" bestFit="1" customWidth="1"/>
    <col min="2" max="3" width="8.7109375" style="29" customWidth="1"/>
    <col min="4" max="5" width="10.7109375" style="29" customWidth="1"/>
    <col min="6" max="6" width="110.7109375" style="29" customWidth="1"/>
    <col min="7" max="16384" width="9.140625" style="29"/>
  </cols>
  <sheetData>
    <row r="1" spans="1:6" ht="15.75" thickBot="1" x14ac:dyDescent="0.3">
      <c r="A1" s="23" t="s">
        <v>5</v>
      </c>
      <c r="B1" s="23" t="s">
        <v>6</v>
      </c>
      <c r="C1" s="23" t="s">
        <v>7</v>
      </c>
      <c r="D1" s="23" t="s">
        <v>8</v>
      </c>
      <c r="E1" s="24" t="s">
        <v>9</v>
      </c>
      <c r="F1" s="23" t="s">
        <v>10</v>
      </c>
    </row>
    <row r="2" spans="1:6" ht="15.75" hidden="1" thickBot="1" x14ac:dyDescent="0.3">
      <c r="A2" s="28" t="s">
        <v>1</v>
      </c>
      <c r="B2" s="30"/>
      <c r="C2" s="31"/>
      <c r="D2" s="40" t="str">
        <f>IF(OR(Hidden!A2="",Hidden!B2=""), "", Hidden!B2-Hidden!A2)</f>
        <v/>
      </c>
      <c r="E2" s="41" t="str">
        <f t="shared" ref="E2:E20" si="0">IF(D2="", "", D2*24)</f>
        <v/>
      </c>
      <c r="F2" s="32"/>
    </row>
    <row r="3" spans="1:6" ht="15.75" hidden="1" thickBot="1" x14ac:dyDescent="0.3">
      <c r="A3" s="25" t="s">
        <v>3</v>
      </c>
      <c r="B3" s="33"/>
      <c r="C3" s="34"/>
      <c r="D3" s="42" t="str">
        <f>IF(OR(Hidden!A3="",Hidden!B3=""), "", Hidden!B3-Hidden!A3)</f>
        <v/>
      </c>
      <c r="E3" s="43" t="str">
        <f t="shared" si="0"/>
        <v/>
      </c>
      <c r="F3" s="35"/>
    </row>
    <row r="4" spans="1:6" ht="15.75" hidden="1" thickBot="1" x14ac:dyDescent="0.3">
      <c r="A4" s="25" t="s">
        <v>2</v>
      </c>
      <c r="B4" s="36"/>
      <c r="C4" s="37"/>
      <c r="D4" s="44" t="str">
        <f>IF(OR(Hidden!A4="",Hidden!B4=""), "", Hidden!B4-Hidden!A4)</f>
        <v/>
      </c>
      <c r="E4" s="45" t="str">
        <f t="shared" si="0"/>
        <v/>
      </c>
      <c r="F4" s="38"/>
    </row>
    <row r="5" spans="1:6" ht="15.75" thickBot="1" x14ac:dyDescent="0.3">
      <c r="A5" s="26"/>
      <c r="B5" s="30"/>
      <c r="C5" s="31"/>
      <c r="D5" s="78" t="str">
        <f>IF(OR(Hidden!A5="",Hidden!B5=""), "", Hidden!B5-Hidden!A5)</f>
        <v/>
      </c>
      <c r="E5" s="79" t="str">
        <f t="shared" si="0"/>
        <v/>
      </c>
      <c r="F5" s="32"/>
    </row>
    <row r="6" spans="1:6" ht="15.75" thickBot="1" x14ac:dyDescent="0.3">
      <c r="A6" s="26"/>
      <c r="B6" s="33"/>
      <c r="C6" s="34"/>
      <c r="D6" s="46" t="str">
        <f>IF(OR(Hidden!A6="",Hidden!B6=""), "", Hidden!B6-Hidden!A6)</f>
        <v/>
      </c>
      <c r="E6" s="47" t="str">
        <f t="shared" si="0"/>
        <v/>
      </c>
      <c r="F6" s="35"/>
    </row>
    <row r="7" spans="1:6" ht="15.75" thickBot="1" x14ac:dyDescent="0.3">
      <c r="A7" s="26"/>
      <c r="B7" s="33"/>
      <c r="C7" s="34"/>
      <c r="D7" s="46" t="str">
        <f>IF(OR(Hidden!A7="",Hidden!B7=""), "", Hidden!B7-Hidden!A7)</f>
        <v/>
      </c>
      <c r="E7" s="47" t="str">
        <f t="shared" si="0"/>
        <v/>
      </c>
      <c r="F7" s="35"/>
    </row>
    <row r="8" spans="1:6" ht="15.75" thickBot="1" x14ac:dyDescent="0.3">
      <c r="A8" s="26"/>
      <c r="B8" s="33"/>
      <c r="C8" s="34"/>
      <c r="D8" s="46" t="str">
        <f>IF(OR(Hidden!A8="",Hidden!B8=""), "", Hidden!B8-Hidden!A8)</f>
        <v/>
      </c>
      <c r="E8" s="47" t="str">
        <f t="shared" si="0"/>
        <v/>
      </c>
      <c r="F8" s="35"/>
    </row>
    <row r="9" spans="1:6" ht="15.75" thickBot="1" x14ac:dyDescent="0.3">
      <c r="A9" s="26"/>
      <c r="B9" s="33"/>
      <c r="C9" s="34"/>
      <c r="D9" s="46" t="str">
        <f>IF(OR(Hidden!A9="",Hidden!B9=""), "", Hidden!B9-Hidden!A9)</f>
        <v/>
      </c>
      <c r="E9" s="47" t="str">
        <f t="shared" si="0"/>
        <v/>
      </c>
      <c r="F9" s="35"/>
    </row>
    <row r="10" spans="1:6" ht="15.75" thickBot="1" x14ac:dyDescent="0.3">
      <c r="A10" s="27"/>
      <c r="B10" s="33"/>
      <c r="C10" s="34"/>
      <c r="D10" s="46" t="str">
        <f>IF(OR(Hidden!A10="",Hidden!B10=""), "", Hidden!B10-Hidden!A10)</f>
        <v/>
      </c>
      <c r="E10" s="47"/>
      <c r="F10" s="35"/>
    </row>
    <row r="11" spans="1:6" ht="15.75" thickBot="1" x14ac:dyDescent="0.3">
      <c r="A11" s="27"/>
      <c r="B11" s="33"/>
      <c r="C11" s="34"/>
      <c r="D11" s="46" t="str">
        <f>IF(OR(Hidden!A11="",Hidden!B11=""), "", Hidden!B11-Hidden!A11)</f>
        <v/>
      </c>
      <c r="E11" s="47" t="str">
        <f t="shared" si="0"/>
        <v/>
      </c>
      <c r="F11" s="35"/>
    </row>
    <row r="12" spans="1:6" ht="15.75" thickBot="1" x14ac:dyDescent="0.3">
      <c r="A12" s="27"/>
      <c r="B12" s="33"/>
      <c r="C12" s="34"/>
      <c r="D12" s="46" t="str">
        <f>IF(OR(Hidden!A12="",Hidden!B12=""), "", Hidden!B12-Hidden!A12)</f>
        <v/>
      </c>
      <c r="E12" s="47" t="str">
        <f t="shared" si="0"/>
        <v/>
      </c>
      <c r="F12" s="35"/>
    </row>
    <row r="13" spans="1:6" ht="15.75" thickBot="1" x14ac:dyDescent="0.3">
      <c r="A13" s="27"/>
      <c r="B13" s="33"/>
      <c r="C13" s="34"/>
      <c r="D13" s="46" t="str">
        <f>IF(OR(Hidden!A13="",Hidden!B13=""), "", Hidden!B13-Hidden!A13)</f>
        <v/>
      </c>
      <c r="E13" s="47" t="str">
        <f t="shared" si="0"/>
        <v/>
      </c>
      <c r="F13" s="35"/>
    </row>
    <row r="14" spans="1:6" ht="15.75" thickBot="1" x14ac:dyDescent="0.3">
      <c r="A14" s="27"/>
      <c r="B14" s="33"/>
      <c r="C14" s="34"/>
      <c r="D14" s="46" t="str">
        <f>IF(OR(Hidden!A14="",Hidden!B14=""), "", Hidden!B14-Hidden!A14)</f>
        <v/>
      </c>
      <c r="E14" s="47" t="str">
        <f t="shared" si="0"/>
        <v/>
      </c>
      <c r="F14" s="35"/>
    </row>
    <row r="15" spans="1:6" ht="15.75" thickBot="1" x14ac:dyDescent="0.3">
      <c r="A15" s="27"/>
      <c r="B15" s="33"/>
      <c r="C15" s="34"/>
      <c r="D15" s="46" t="str">
        <f>IF(OR(Hidden!A15="",Hidden!B15=""), "", Hidden!B15-Hidden!A15)</f>
        <v/>
      </c>
      <c r="E15" s="47" t="str">
        <f t="shared" si="0"/>
        <v/>
      </c>
      <c r="F15" s="35"/>
    </row>
    <row r="16" spans="1:6" ht="15.75" thickBot="1" x14ac:dyDescent="0.3">
      <c r="A16" s="27"/>
      <c r="B16" s="33"/>
      <c r="C16" s="34"/>
      <c r="D16" s="46" t="str">
        <f>IF(OR(Hidden!A16="",Hidden!B16=""), "", Hidden!B16-Hidden!A16)</f>
        <v/>
      </c>
      <c r="E16" s="47" t="str">
        <f t="shared" si="0"/>
        <v/>
      </c>
      <c r="F16" s="35"/>
    </row>
    <row r="17" spans="1:6" ht="15.75" thickBot="1" x14ac:dyDescent="0.3">
      <c r="A17" s="27"/>
      <c r="B17" s="33"/>
      <c r="C17" s="34"/>
      <c r="D17" s="46" t="str">
        <f>IF(OR(Hidden!A17="",Hidden!B17=""), "", Hidden!B17-Hidden!A17)</f>
        <v/>
      </c>
      <c r="E17" s="47" t="str">
        <f t="shared" si="0"/>
        <v/>
      </c>
      <c r="F17" s="35"/>
    </row>
    <row r="18" spans="1:6" ht="15.75" thickBot="1" x14ac:dyDescent="0.3">
      <c r="A18" s="27"/>
      <c r="B18" s="33"/>
      <c r="C18" s="34"/>
      <c r="D18" s="46" t="str">
        <f>IF(OR(Hidden!A18="",Hidden!B18=""), "", Hidden!B18-Hidden!A18)</f>
        <v/>
      </c>
      <c r="E18" s="47" t="str">
        <f t="shared" si="0"/>
        <v/>
      </c>
      <c r="F18" s="35"/>
    </row>
    <row r="19" spans="1:6" ht="15.75" thickBot="1" x14ac:dyDescent="0.3">
      <c r="A19" s="27"/>
      <c r="B19" s="33"/>
      <c r="C19" s="34"/>
      <c r="D19" s="46" t="str">
        <f>IF(OR(Hidden!A19="",Hidden!B19=""), "", Hidden!B19-Hidden!A19)</f>
        <v/>
      </c>
      <c r="E19" s="47" t="str">
        <f t="shared" si="0"/>
        <v/>
      </c>
      <c r="F19" s="35"/>
    </row>
    <row r="20" spans="1:6" ht="15.75" thickBot="1" x14ac:dyDescent="0.3">
      <c r="A20" s="27"/>
      <c r="B20" s="36"/>
      <c r="C20" s="37"/>
      <c r="D20" s="44" t="str">
        <f>IF(OR(Hidden!A20="",Hidden!B20=""), "", Hidden!B20-Hidden!A20)</f>
        <v/>
      </c>
      <c r="E20" s="45" t="str">
        <f t="shared" si="0"/>
        <v/>
      </c>
      <c r="F20" s="38"/>
    </row>
    <row r="21" spans="1:6" ht="15.75" thickBot="1" x14ac:dyDescent="0.3">
      <c r="A21" s="39" t="s">
        <v>0</v>
      </c>
      <c r="B21" s="48" t="str">
        <f>IF(TEXT(MIN(_xlfn.UNIQUE(Hidden!F2:'Hidden'!F20)),"0000")="0000","",TEXT(MIN(_xlfn.UNIQUE(Hidden!F2:'Hidden'!F20)),"0000"))</f>
        <v/>
      </c>
      <c r="C21" s="49" t="str">
        <f>IF(TEXT(MAX(_xlfn.UNIQUE(Hidden!G2:'Hidden'!G20)),"0000")="0000","",TEXT(MAX(_xlfn.UNIQUE(Hidden!G2:'Hidden'!G20)),"0000"))</f>
        <v/>
      </c>
      <c r="D21" s="50" t="str">
        <f>IF(OR(Hidden!A21="",Hidden!B21=""), "", Hidden!B21-Hidden!A21)</f>
        <v/>
      </c>
      <c r="E21" s="51" t="str">
        <f>IF(D21="", "", D21*24)</f>
        <v/>
      </c>
      <c r="F21" s="89" t="s">
        <v>40</v>
      </c>
    </row>
  </sheetData>
  <sheetProtection sheet="1" objects="1" scenarios="1" selectLockedCells="1" sort="0" autoFilter="0"/>
  <dataValidations count="1">
    <dataValidation type="list" allowBlank="1" showInputMessage="1" sqref="A5:A20" xr:uid="{00000000-0002-0000-0100-000000000000}">
      <formula1>LogType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
                <anchor moveWithCells="1" sizeWithCells="1">
                  <from>
                    <xdr:col>0</xdr:col>
                    <xdr:colOff>1400175</xdr:colOff>
                    <xdr:row>24</xdr:row>
                    <xdr:rowOff>76200</xdr:rowOff>
                  </from>
                  <to>
                    <xdr:col>2</xdr:col>
                    <xdr:colOff>104775</xdr:colOff>
                    <xdr:row>25</xdr:row>
                    <xdr:rowOff>161925</xdr:rowOff>
                  </to>
                </anchor>
              </controlPr>
            </control>
          </mc:Choice>
        </mc:AlternateContent>
        <mc:AlternateContent xmlns:mc="http://schemas.openxmlformats.org/markup-compatibility/2006">
          <mc:Choice Requires="x14">
            <control shapeId="1028" r:id="rId5" name="Button 4">
              <controlPr defaultSize="0" print="0" autoFill="0" autoPict="0" macro="[0]!Export">
                <anchor moveWithCells="1" sizeWithCells="1">
                  <from>
                    <xdr:col>0</xdr:col>
                    <xdr:colOff>1400175</xdr:colOff>
                    <xdr:row>22</xdr:row>
                    <xdr:rowOff>9525</xdr:rowOff>
                  </from>
                  <to>
                    <xdr:col>2</xdr:col>
                    <xdr:colOff>104775</xdr:colOff>
                    <xdr:row>23</xdr:row>
                    <xdr:rowOff>95250</xdr:rowOff>
                  </to>
                </anchor>
              </controlPr>
            </control>
          </mc:Choice>
        </mc:AlternateContent>
        <mc:AlternateContent xmlns:mc="http://schemas.openxmlformats.org/markup-compatibility/2006">
          <mc:Choice Requires="x14">
            <control shapeId="1029" r:id="rId6" name="Check Box 1">
              <controlPr defaultSize="0" autoFill="0" autoLine="0" autoPict="0" macro="[0]!Break1">
                <anchor moveWithCells="1">
                  <from>
                    <xdr:col>0</xdr:col>
                    <xdr:colOff>19050</xdr:colOff>
                    <xdr:row>22</xdr:row>
                    <xdr:rowOff>9525</xdr:rowOff>
                  </from>
                  <to>
                    <xdr:col>0</xdr:col>
                    <xdr:colOff>1162050</xdr:colOff>
                    <xdr:row>23</xdr:row>
                    <xdr:rowOff>47625</xdr:rowOff>
                  </to>
                </anchor>
              </controlPr>
            </control>
          </mc:Choice>
        </mc:AlternateContent>
        <mc:AlternateContent xmlns:mc="http://schemas.openxmlformats.org/markup-compatibility/2006">
          <mc:Choice Requires="x14">
            <control shapeId="1030" r:id="rId7" name="Check Box 3">
              <controlPr defaultSize="0" autoFill="0" autoLine="0" autoPict="0" macro="[0]!LunchBreak">
                <anchor moveWithCells="1">
                  <from>
                    <xdr:col>0</xdr:col>
                    <xdr:colOff>19050</xdr:colOff>
                    <xdr:row>24</xdr:row>
                    <xdr:rowOff>133350</xdr:rowOff>
                  </from>
                  <to>
                    <xdr:col>0</xdr:col>
                    <xdr:colOff>1162050</xdr:colOff>
                    <xdr:row>25</xdr:row>
                    <xdr:rowOff>171450</xdr:rowOff>
                  </to>
                </anchor>
              </controlPr>
            </control>
          </mc:Choice>
        </mc:AlternateContent>
        <mc:AlternateContent xmlns:mc="http://schemas.openxmlformats.org/markup-compatibility/2006">
          <mc:Choice Requires="x14">
            <control shapeId="1031" r:id="rId8" name="Check Box 2">
              <controlPr defaultSize="0" autoFill="0" autoLine="0" autoPict="0" macro="[0]!Break2">
                <anchor moveWithCells="1">
                  <from>
                    <xdr:col>0</xdr:col>
                    <xdr:colOff>19050</xdr:colOff>
                    <xdr:row>23</xdr:row>
                    <xdr:rowOff>76200</xdr:rowOff>
                  </from>
                  <to>
                    <xdr:col>0</xdr:col>
                    <xdr:colOff>1162050</xdr:colOff>
                    <xdr:row>24</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24"/>
  <sheetViews>
    <sheetView workbookViewId="0">
      <selection activeCell="C21" sqref="C21"/>
    </sheetView>
  </sheetViews>
  <sheetFormatPr defaultRowHeight="15" x14ac:dyDescent="0.25"/>
  <cols>
    <col min="1" max="2" width="10.7109375" style="2" customWidth="1"/>
    <col min="3" max="5" width="50.7109375" style="2" customWidth="1"/>
    <col min="6" max="6" width="12.140625" style="2" bestFit="1" customWidth="1"/>
    <col min="7" max="7" width="11.28515625" style="2" bestFit="1" customWidth="1"/>
    <col min="8" max="16384" width="9.140625" style="2"/>
  </cols>
  <sheetData>
    <row r="1" spans="1:7" ht="15.75" thickBot="1" x14ac:dyDescent="0.3">
      <c r="A1" s="17" t="s">
        <v>11</v>
      </c>
      <c r="B1" s="68" t="s">
        <v>12</v>
      </c>
      <c r="C1" s="1" t="s">
        <v>13</v>
      </c>
      <c r="D1" s="69" t="s">
        <v>14</v>
      </c>
      <c r="E1" s="17" t="s">
        <v>15</v>
      </c>
      <c r="F1" s="17" t="s">
        <v>16</v>
      </c>
      <c r="G1" s="17" t="s">
        <v>17</v>
      </c>
    </row>
    <row r="2" spans="1:7" x14ac:dyDescent="0.25">
      <c r="A2" s="18" t="str">
        <f>IF(TEXT(Logs!B2,"0000")="0000","",TIMEVALUE(REPLACE(TEXT(Logs!B2,"0000"),3,0,":")))</f>
        <v/>
      </c>
      <c r="B2" s="64" t="str">
        <f>IF(TEXT(Logs!C2,"0000")="0000","",TIMEVALUE(REPLACE(TEXT(Logs!C2,"0000"),3,0,":")))</f>
        <v/>
      </c>
      <c r="C2" s="75" t="str">
        <f>IF(OR(Logs!A2="",Logs!D2=""),"","From "&amp;TEXT(Logs!B2,"0000")&amp;" to "&amp;TEXT(Logs!C2, "0000")&amp;" - "&amp;Logs!A2&amp; " ("&amp;TEXT(Logs!E2,"0.00")&amp;" Hours)")</f>
        <v/>
      </c>
      <c r="D2" s="70"/>
      <c r="E2" s="4"/>
      <c r="F2" s="8" t="str">
        <f>IF(VALUE(Logs!B2)=0,"",VALUE(Logs!B2))</f>
        <v/>
      </c>
      <c r="G2" s="9" t="str">
        <f>IF(VALUE(Logs!C2)=0,"",VALUE(Logs!C2))</f>
        <v/>
      </c>
    </row>
    <row r="3" spans="1:7" x14ac:dyDescent="0.25">
      <c r="A3" s="19" t="str">
        <f>IF(TEXT(Logs!B3,"0000")="0000","",TIMEVALUE(REPLACE(TEXT(Logs!B3,"0000"),3,0,":")))</f>
        <v/>
      </c>
      <c r="B3" s="65" t="str">
        <f>IF(TEXT(Logs!C3,"0000")="0000","",TIMEVALUE(REPLACE(TEXT(Logs!C3,"0000"),3,0,":")))</f>
        <v/>
      </c>
      <c r="C3" s="76" t="str">
        <f>IF(OR(Logs!A3="",Logs!D3=""),"","From "&amp;TEXT(Logs!B3,"0000")&amp;" to "&amp;TEXT(Logs!C3, "0000")&amp;" - "&amp;Logs!A3&amp; " ("&amp;TEXT(Logs!E3,"0.00")&amp;" Hours)")</f>
        <v/>
      </c>
      <c r="D3" s="71"/>
      <c r="E3" s="6"/>
      <c r="F3" s="10" t="str">
        <f>IF(VALUE(Logs!B3)=0,"",VALUE(Logs!B3))</f>
        <v/>
      </c>
      <c r="G3" s="11" t="str">
        <f>IF(VALUE(Logs!C3)=0,"",VALUE(Logs!C3))</f>
        <v/>
      </c>
    </row>
    <row r="4" spans="1:7" ht="15.75" thickBot="1" x14ac:dyDescent="0.3">
      <c r="A4" s="20" t="str">
        <f>IF(TEXT(Logs!B4,"0000")="0000","",TIMEVALUE(REPLACE(TEXT(Logs!B4,"0000"),3,0,":")))</f>
        <v/>
      </c>
      <c r="B4" s="66" t="str">
        <f>IF(TEXT(Logs!C4,"0000")="0000","",TIMEVALUE(REPLACE(TEXT(Logs!C4,"0000"),3,0,":")))</f>
        <v/>
      </c>
      <c r="C4" s="77" t="str">
        <f>IF(OR(Logs!A4="",Logs!D4=""),"","From "&amp;TEXT(Logs!B4,"0000")&amp;" to "&amp;TEXT(Logs!C4, "0000")&amp;" - "&amp;Logs!A4&amp; " ("&amp;TEXT(Logs!E4,"0.00")&amp;" Hours)")</f>
        <v/>
      </c>
      <c r="D4" s="72"/>
      <c r="E4" s="16"/>
      <c r="F4" s="12" t="str">
        <f>IF(VALUE(Logs!B4)=0,"",VALUE(Logs!B4))</f>
        <v/>
      </c>
      <c r="G4" s="13" t="str">
        <f>IF(VALUE(Logs!C4)=0,"",VALUE(Logs!C4))</f>
        <v/>
      </c>
    </row>
    <row r="5" spans="1:7" x14ac:dyDescent="0.25">
      <c r="A5" s="18" t="str">
        <f>IF(TEXT(Logs!B5,"0000")="0000","",TIMEVALUE(REPLACE(TEXT(Logs!B5,"0000"),3,0,":")))</f>
        <v/>
      </c>
      <c r="B5" s="64" t="str">
        <f>IF(TEXT(Logs!C5,"0000")="0000","",TIMEVALUE(REPLACE(TEXT(Logs!C5,"0000"),3,0,":")))</f>
        <v/>
      </c>
      <c r="C5" s="75" t="str">
        <f>IF(OR(Logs!A5="",Logs!D5=""),"","From "&amp;TEXT(Logs!B5,"0000")&amp;" to "&amp;TEXT(Logs!C5, "0000")&amp;" - "&amp;Logs!A5&amp; " ("&amp;TEXT(Logs!E5,"0.00")&amp;" Hours)")</f>
        <v/>
      </c>
      <c r="D5" s="70"/>
      <c r="E5" s="22"/>
      <c r="F5" s="8" t="str">
        <f>IF(VALUE(Logs!B5)=0,"",VALUE(Logs!B5))</f>
        <v/>
      </c>
      <c r="G5" s="9" t="str">
        <f>IF(VALUE(Logs!C5)=0,"",VALUE(Logs!C5))</f>
        <v/>
      </c>
    </row>
    <row r="6" spans="1:7" x14ac:dyDescent="0.25">
      <c r="A6" s="19" t="str">
        <f>IF(TEXT(Logs!B6,"0000")="0000","",TIMEVALUE(REPLACE(TEXT(Logs!B6,"0000"),3,0,":")))</f>
        <v/>
      </c>
      <c r="B6" s="65" t="str">
        <f>IF(TEXT(Logs!C6,"0000")="0000","",TIMEVALUE(REPLACE(TEXT(Logs!C6,"0000"),3,0,":")))</f>
        <v/>
      </c>
      <c r="C6" s="76" t="str">
        <f>IF(OR(Logs!A6="",Logs!D6=""),"","From "&amp;TEXT(Logs!B6,"0000")&amp;" to "&amp;TEXT(Logs!C6, "0000")&amp;" - "&amp;Logs!A6&amp; " ("&amp;TEXT(Logs!E6,"0.00")&amp;" Hours)")</f>
        <v/>
      </c>
      <c r="D6" s="71"/>
      <c r="E6" s="5"/>
      <c r="F6" s="10" t="str">
        <f>IF(VALUE(Logs!B6)=0,"",VALUE(Logs!B6))</f>
        <v/>
      </c>
      <c r="G6" s="11" t="str">
        <f>IF(VALUE(Logs!C6)=0,"",VALUE(Logs!C6))</f>
        <v/>
      </c>
    </row>
    <row r="7" spans="1:7" x14ac:dyDescent="0.25">
      <c r="A7" s="19" t="str">
        <f>IF(TEXT(Logs!B7,"0000")="0000","",TIMEVALUE(REPLACE(TEXT(Logs!B7,"0000"),3,0,":")))</f>
        <v/>
      </c>
      <c r="B7" s="65" t="str">
        <f>IF(TEXT(Logs!C7,"0000")="0000","",TIMEVALUE(REPLACE(TEXT(Logs!C7,"0000"),3,0,":")))</f>
        <v/>
      </c>
      <c r="C7" s="76" t="str">
        <f>IF(OR(Logs!A7="",Logs!D7=""),"","From "&amp;TEXT(Logs!B7,"0000")&amp;" to "&amp;TEXT(Logs!C7, "0000")&amp;" - "&amp;Logs!A7&amp; " ("&amp;TEXT(Logs!E7,"0.00")&amp;" Hours)")</f>
        <v/>
      </c>
      <c r="D7" s="71"/>
      <c r="E7" s="5"/>
      <c r="F7" s="10" t="str">
        <f>IF(VALUE(Logs!B7)=0,"",VALUE(Logs!B7))</f>
        <v/>
      </c>
      <c r="G7" s="11" t="str">
        <f>IF(VALUE(Logs!C7)=0,"",VALUE(Logs!C7))</f>
        <v/>
      </c>
    </row>
    <row r="8" spans="1:7" x14ac:dyDescent="0.25">
      <c r="A8" s="19" t="str">
        <f>IF(TEXT(Logs!B8,"0000")="0000","",TIMEVALUE(REPLACE(TEXT(Logs!B8,"0000"),3,0,":")))</f>
        <v/>
      </c>
      <c r="B8" s="65" t="str">
        <f>IF(TEXT(Logs!C8,"0000")="0000","",TIMEVALUE(REPLACE(TEXT(Logs!C8,"0000"),3,0,":")))</f>
        <v/>
      </c>
      <c r="C8" s="76" t="str">
        <f>IF(OR(Logs!A8="",Logs!D8=""),"","From "&amp;TEXT(Logs!B8,"0000")&amp;" to "&amp;TEXT(Logs!C8, "0000")&amp;" - "&amp;Logs!A8&amp; " ("&amp;TEXT(Logs!E8,"0.00")&amp;" Hours)")</f>
        <v/>
      </c>
      <c r="D8" s="71"/>
      <c r="E8" s="6"/>
      <c r="F8" s="10" t="str">
        <f>IF(VALUE(Logs!B8)=0,"",VALUE(Logs!B8))</f>
        <v/>
      </c>
      <c r="G8" s="11" t="str">
        <f>IF(VALUE(Logs!C8)=0,"",VALUE(Logs!C8))</f>
        <v/>
      </c>
    </row>
    <row r="9" spans="1:7" x14ac:dyDescent="0.25">
      <c r="A9" s="19" t="str">
        <f>IF(TEXT(Logs!B9,"0000")="0000","",TIMEVALUE(REPLACE(TEXT(Logs!B9,"0000"),3,0,":")))</f>
        <v/>
      </c>
      <c r="B9" s="65" t="str">
        <f>IF(TEXT(Logs!C9,"0000")="0000","",TIMEVALUE(REPLACE(TEXT(Logs!C9,"0000"),3,0,":")))</f>
        <v/>
      </c>
      <c r="C9" s="76" t="str">
        <f>IF(OR(Logs!A9="",Logs!D9=""),"","From "&amp;TEXT(Logs!B9,"0000")&amp;" to "&amp;TEXT(Logs!C9, "0000")&amp;" - "&amp;Logs!A9&amp; " ("&amp;TEXT(Logs!E9,"0.00")&amp;" Hours)")</f>
        <v/>
      </c>
      <c r="D9" s="71"/>
      <c r="E9" s="5"/>
      <c r="F9" s="10" t="str">
        <f>IF(VALUE(Logs!B9)=0,"",VALUE(Logs!B9))</f>
        <v/>
      </c>
      <c r="G9" s="11" t="str">
        <f>IF(VALUE(Logs!C9)=0,"",VALUE(Logs!C9))</f>
        <v/>
      </c>
    </row>
    <row r="10" spans="1:7" x14ac:dyDescent="0.25">
      <c r="A10" s="19" t="str">
        <f>IF(TEXT(Logs!B10,"0000")="0000","",TIMEVALUE(REPLACE(TEXT(Logs!B10,"0000"),3,0,":")))</f>
        <v/>
      </c>
      <c r="B10" s="65" t="str">
        <f>IF(TEXT(Logs!C10,"0000")="0000","",TIMEVALUE(REPLACE(TEXT(Logs!C10,"0000"),3,0,":")))</f>
        <v/>
      </c>
      <c r="C10" s="76" t="str">
        <f>IF(OR(Logs!A10="",Logs!D10=""),"","From "&amp;TEXT(Logs!B10,"0000")&amp;" to "&amp;TEXT(Logs!C10, "0000")&amp;" - "&amp;Logs!A10&amp; " ("&amp;TEXT(Logs!E10,"0.00")&amp;" Hours)")</f>
        <v/>
      </c>
      <c r="D10" s="71"/>
      <c r="E10" s="5"/>
      <c r="F10" s="10" t="str">
        <f>IF(VALUE(Logs!B10)=0,"",VALUE(Logs!B10))</f>
        <v/>
      </c>
      <c r="G10" s="11" t="str">
        <f>IF(VALUE(Logs!C10)=0,"",VALUE(Logs!C10))</f>
        <v/>
      </c>
    </row>
    <row r="11" spans="1:7" x14ac:dyDescent="0.25">
      <c r="A11" s="19" t="str">
        <f>IF(TEXT(Logs!B11,"0000")="0000","",TIMEVALUE(REPLACE(TEXT(Logs!B11,"0000"),3,0,":")))</f>
        <v/>
      </c>
      <c r="B11" s="65" t="str">
        <f>IF(TEXT(Logs!C11,"0000")="0000","",TIMEVALUE(REPLACE(TEXT(Logs!C11,"0000"),3,0,":")))</f>
        <v/>
      </c>
      <c r="C11" s="76" t="str">
        <f>IF(OR(Logs!A11="",Logs!D11=""),"","From "&amp;TEXT(Logs!B11,"0000")&amp;" to "&amp;TEXT(Logs!C11, "0000")&amp;" - "&amp;Logs!A11&amp; " ("&amp;TEXT(Logs!E11,"0.00")&amp;" Hours)")</f>
        <v/>
      </c>
      <c r="D11" s="71"/>
      <c r="E11" s="5"/>
      <c r="F11" s="10" t="str">
        <f>IF(VALUE(Logs!B11)=0,"",VALUE(Logs!B11))</f>
        <v/>
      </c>
      <c r="G11" s="11" t="str">
        <f>IF(VALUE(Logs!C11)=0,"",VALUE(Logs!C11))</f>
        <v/>
      </c>
    </row>
    <row r="12" spans="1:7" x14ac:dyDescent="0.25">
      <c r="A12" s="19" t="str">
        <f>IF(TEXT(Logs!B12,"0000")="0000","",TIMEVALUE(REPLACE(TEXT(Logs!B12,"0000"),3,0,":")))</f>
        <v/>
      </c>
      <c r="B12" s="65" t="str">
        <f>IF(TEXT(Logs!C12,"0000")="0000","",TIMEVALUE(REPLACE(TEXT(Logs!C12,"0000"),3,0,":")))</f>
        <v/>
      </c>
      <c r="C12" s="76" t="str">
        <f>IF(OR(Logs!A12="",Logs!D12=""),"","From "&amp;TEXT(Logs!B12,"0000")&amp;" to "&amp;TEXT(Logs!C12, "0000")&amp;" - "&amp;Logs!A12&amp; " ("&amp;TEXT(Logs!E12,"0.00")&amp;" Hours)")</f>
        <v/>
      </c>
      <c r="D12" s="71"/>
      <c r="E12" s="5"/>
      <c r="F12" s="10" t="str">
        <f>IF(VALUE(Logs!B12)=0,"",VALUE(Logs!B12))</f>
        <v/>
      </c>
      <c r="G12" s="11" t="str">
        <f>IF(VALUE(Logs!C12)=0,"",VALUE(Logs!C12))</f>
        <v/>
      </c>
    </row>
    <row r="13" spans="1:7" x14ac:dyDescent="0.25">
      <c r="A13" s="19" t="str">
        <f>IF(TEXT(Logs!B13,"0000")="0000","",TIMEVALUE(REPLACE(TEXT(Logs!B13,"0000"),3,0,":")))</f>
        <v/>
      </c>
      <c r="B13" s="65" t="str">
        <f>IF(TEXT(Logs!C13,"0000")="0000","",TIMEVALUE(REPLACE(TEXT(Logs!C13,"0000"),3,0,":")))</f>
        <v/>
      </c>
      <c r="C13" s="76" t="str">
        <f>IF(OR(Logs!A13="",Logs!D13=""),"","From "&amp;TEXT(Logs!B13,"0000")&amp;" to "&amp;TEXT(Logs!C13, "0000")&amp;" - "&amp;Logs!A13&amp; " ("&amp;TEXT(Logs!E13,"0.00")&amp;" Hours)")</f>
        <v/>
      </c>
      <c r="D13" s="71"/>
      <c r="E13" s="5"/>
      <c r="F13" s="10" t="str">
        <f>IF(VALUE(Logs!B13)=0,"",VALUE(Logs!B13))</f>
        <v/>
      </c>
      <c r="G13" s="11" t="str">
        <f>IF(VALUE(Logs!C13)=0,"",VALUE(Logs!C13))</f>
        <v/>
      </c>
    </row>
    <row r="14" spans="1:7" x14ac:dyDescent="0.25">
      <c r="A14" s="19" t="str">
        <f>IF(TEXT(Logs!B14,"0000")="0000","",TIMEVALUE(REPLACE(TEXT(Logs!B14,"0000"),3,0,":")))</f>
        <v/>
      </c>
      <c r="B14" s="65" t="str">
        <f>IF(TEXT(Logs!C14,"0000")="0000","",TIMEVALUE(REPLACE(TEXT(Logs!C14,"0000"),3,0,":")))</f>
        <v/>
      </c>
      <c r="C14" s="76" t="str">
        <f>IF(OR(Logs!A14="",Logs!D14=""),"","From "&amp;TEXT(Logs!B14,"0000")&amp;" to "&amp;TEXT(Logs!C14, "0000")&amp;" - "&amp;Logs!A14&amp; " ("&amp;TEXT(Logs!E14,"0.00")&amp;" Hours)")</f>
        <v/>
      </c>
      <c r="D14" s="71"/>
      <c r="E14" s="5"/>
      <c r="F14" s="10" t="str">
        <f>IF(VALUE(Logs!B14)=0,"",VALUE(Logs!B14))</f>
        <v/>
      </c>
      <c r="G14" s="11" t="str">
        <f>IF(VALUE(Logs!C14)=0,"",VALUE(Logs!C14))</f>
        <v/>
      </c>
    </row>
    <row r="15" spans="1:7" x14ac:dyDescent="0.25">
      <c r="A15" s="19" t="str">
        <f>IF(TEXT(Logs!B15,"0000")="0000","",TIMEVALUE(REPLACE(TEXT(Logs!B15,"0000"),3,0,":")))</f>
        <v/>
      </c>
      <c r="B15" s="65" t="str">
        <f>IF(TEXT(Logs!C15,"0000")="0000","",TIMEVALUE(REPLACE(TEXT(Logs!C15,"0000"),3,0,":")))</f>
        <v/>
      </c>
      <c r="C15" s="76" t="str">
        <f>IF(OR(Logs!A15="",Logs!D15=""),"","From "&amp;TEXT(Logs!B15,"0000")&amp;" to "&amp;TEXT(Logs!C15, "0000")&amp;" - "&amp;Logs!A15&amp; " ("&amp;TEXT(Logs!E15,"0.00")&amp;" Hours)")</f>
        <v/>
      </c>
      <c r="D15" s="71"/>
      <c r="E15" s="5"/>
      <c r="F15" s="10" t="str">
        <f>IF(VALUE(Logs!B15)=0,"",VALUE(Logs!B15))</f>
        <v/>
      </c>
      <c r="G15" s="11" t="str">
        <f>IF(VALUE(Logs!C15)=0,"",VALUE(Logs!C15))</f>
        <v/>
      </c>
    </row>
    <row r="16" spans="1:7" x14ac:dyDescent="0.25">
      <c r="A16" s="19" t="str">
        <f>IF(TEXT(Logs!B16,"0000")="0000","",TIMEVALUE(REPLACE(TEXT(Logs!B16,"0000"),3,0,":")))</f>
        <v/>
      </c>
      <c r="B16" s="65" t="str">
        <f>IF(TEXT(Logs!C16,"0000")="0000","",TIMEVALUE(REPLACE(TEXT(Logs!C16,"0000"),3,0,":")))</f>
        <v/>
      </c>
      <c r="C16" s="76" t="str">
        <f>IF(OR(Logs!A16="",Logs!D16=""),"","From "&amp;TEXT(Logs!B16,"0000")&amp;" to "&amp;TEXT(Logs!C16, "0000")&amp;" - "&amp;Logs!A16&amp; " ("&amp;TEXT(Logs!E16,"0.00")&amp;" Hours)")</f>
        <v/>
      </c>
      <c r="D16" s="71"/>
      <c r="E16" s="5"/>
      <c r="F16" s="10" t="str">
        <f>IF(VALUE(Logs!B16)=0,"",VALUE(Logs!B16))</f>
        <v/>
      </c>
      <c r="G16" s="11" t="str">
        <f>IF(VALUE(Logs!C16)=0,"",VALUE(Logs!C16))</f>
        <v/>
      </c>
    </row>
    <row r="17" spans="1:7" x14ac:dyDescent="0.25">
      <c r="A17" s="19" t="str">
        <f>IF(TEXT(Logs!B17,"0000")="0000","",TIMEVALUE(REPLACE(TEXT(Logs!B17,"0000"),3,0,":")))</f>
        <v/>
      </c>
      <c r="B17" s="65" t="str">
        <f>IF(TEXT(Logs!C17,"0000")="0000","",TIMEVALUE(REPLACE(TEXT(Logs!C17,"0000"),3,0,":")))</f>
        <v/>
      </c>
      <c r="C17" s="76" t="str">
        <f>IF(OR(Logs!A17="",Logs!D17=""),"","From "&amp;TEXT(Logs!B17,"0000")&amp;" to "&amp;TEXT(Logs!C17, "0000")&amp;" - "&amp;Logs!A17&amp; " ("&amp;TEXT(Logs!E17,"0.00")&amp;" Hours)")</f>
        <v/>
      </c>
      <c r="D17" s="71"/>
      <c r="E17" s="5"/>
      <c r="F17" s="10" t="str">
        <f>IF(VALUE(Logs!B17)=0,"",VALUE(Logs!B17))</f>
        <v/>
      </c>
      <c r="G17" s="11" t="str">
        <f>IF(VALUE(Logs!C17)=0,"",VALUE(Logs!C17))</f>
        <v/>
      </c>
    </row>
    <row r="18" spans="1:7" x14ac:dyDescent="0.25">
      <c r="A18" s="19" t="str">
        <f>IF(TEXT(Logs!B18,"0000")="0000","",TIMEVALUE(REPLACE(TEXT(Logs!B18,"0000"),3,0,":")))</f>
        <v/>
      </c>
      <c r="B18" s="65" t="str">
        <f>IF(TEXT(Logs!C18,"0000")="0000","",TIMEVALUE(REPLACE(TEXT(Logs!C18,"0000"),3,0,":")))</f>
        <v/>
      </c>
      <c r="C18" s="76" t="str">
        <f>IF(OR(Logs!A18="",Logs!D18=""),"","From "&amp;TEXT(Logs!B18,"0000")&amp;" to "&amp;TEXT(Logs!C18, "0000")&amp;" - "&amp;Logs!A18&amp; " ("&amp;TEXT(Logs!E18,"0.00")&amp;" Hours)")</f>
        <v/>
      </c>
      <c r="D18" s="71"/>
      <c r="E18" s="5"/>
      <c r="F18" s="10" t="str">
        <f>IF(VALUE(Logs!B18)=0,"",VALUE(Logs!B18))</f>
        <v/>
      </c>
      <c r="G18" s="11" t="str">
        <f>IF(VALUE(Logs!C18)=0,"",VALUE(Logs!C18))</f>
        <v/>
      </c>
    </row>
    <row r="19" spans="1:7" x14ac:dyDescent="0.25">
      <c r="A19" s="19" t="str">
        <f>IF(TEXT(Logs!B19,"0000")="0000","",TIMEVALUE(REPLACE(TEXT(Logs!B19,"0000"),3,0,":")))</f>
        <v/>
      </c>
      <c r="B19" s="65" t="str">
        <f>IF(TEXT(Logs!C19,"0000")="0000","",TIMEVALUE(REPLACE(TEXT(Logs!C19,"0000"),3,0,":")))</f>
        <v/>
      </c>
      <c r="C19" s="76" t="str">
        <f>IF(OR(Logs!A19="",Logs!D19=""),"","From "&amp;TEXT(Logs!B19,"0000")&amp;" to "&amp;TEXT(Logs!C19, "0000")&amp;" - "&amp;Logs!A19&amp; " ("&amp;TEXT(Logs!E19,"0.00")&amp;" Hours)")</f>
        <v/>
      </c>
      <c r="D19" s="71"/>
      <c r="E19" s="5"/>
      <c r="F19" s="10" t="str">
        <f>IF(VALUE(Logs!B19)=0,"",VALUE(Logs!B19))</f>
        <v/>
      </c>
      <c r="G19" s="11" t="str">
        <f>IF(VALUE(Logs!C19)=0,"",VALUE(Logs!C19))</f>
        <v/>
      </c>
    </row>
    <row r="20" spans="1:7" ht="15.75" thickBot="1" x14ac:dyDescent="0.3">
      <c r="A20" s="20" t="str">
        <f>IF(TEXT(Logs!B20,"0000")="0000","",TIMEVALUE(REPLACE(TEXT(Logs!B20,"0000"),3,0,":")))</f>
        <v/>
      </c>
      <c r="B20" s="66" t="str">
        <f>IF(TEXT(Logs!C20,"0000")="0000","",TIMEVALUE(REPLACE(TEXT(Logs!C20,"0000"),3,0,":")))</f>
        <v/>
      </c>
      <c r="C20" s="77" t="str">
        <f>IF(OR(Logs!A20="",Logs!D20=""),"","From "&amp;TEXT(Logs!B20,"0000")&amp;" to "&amp;TEXT(Logs!C20, "0000")&amp;" - "&amp;Logs!A20&amp; " ("&amp;TEXT(Logs!E20,"0.00")&amp;" Hours)")</f>
        <v/>
      </c>
      <c r="D20" s="72"/>
      <c r="E20" s="16"/>
      <c r="F20" s="12" t="str">
        <f>IF(VALUE(Logs!B20)=0,"",VALUE(Logs!B20))</f>
        <v/>
      </c>
      <c r="G20" s="13" t="str">
        <f>IF(VALUE(Logs!C20)=0,"",VALUE(Logs!C20))</f>
        <v/>
      </c>
    </row>
    <row r="21" spans="1:7" ht="15.75" thickBot="1" x14ac:dyDescent="0.3">
      <c r="A21" s="21" t="str">
        <f>IF(TEXT(Logs!B21,"0000")="","",TIMEVALUE(REPLACE(TEXT(Logs!B21,"0000"),3,0,":")))</f>
        <v/>
      </c>
      <c r="B21" s="67" t="str">
        <f>IF(TEXT(Logs!C21,"0000")="","",TIMEVALUE(REPLACE(TEXT(Logs!C21,"0000"),3,0,":")))</f>
        <v/>
      </c>
      <c r="C21" s="77" t="str">
        <f>IF(OR(Logs!A21="",Logs!D21=""),"", Logs!A21&amp;": From "&amp;TEXT(Logs!B21,"0000")&amp;" to "&amp;TEXT(Logs!C21, "0000")&amp;" ("&amp;TEXT(Logs!E21,"0.00")&amp;" Hours)")</f>
        <v/>
      </c>
      <c r="D21" s="73"/>
      <c r="E21" s="7"/>
      <c r="F21" s="14" t="e">
        <f>IF(VALUE(Logs!B21)=0,"",VALUE(Logs!B21))</f>
        <v>#VALUE!</v>
      </c>
      <c r="G21" s="15" t="e">
        <f>IF(VALUE(Logs!C21)=0,"",VALUE(Logs!C21))</f>
        <v>#VALUE!</v>
      </c>
    </row>
    <row r="22" spans="1:7" ht="15.75" thickBot="1" x14ac:dyDescent="0.3"/>
    <row r="23" spans="1:7" ht="15.75" thickBot="1" x14ac:dyDescent="0.3">
      <c r="A23" s="1" t="s">
        <v>4</v>
      </c>
    </row>
    <row r="24" spans="1:7" ht="15.75" thickBot="1" x14ac:dyDescent="0.3">
      <c r="A24" s="3"/>
      <c r="C24" s="74"/>
    </row>
  </sheetData>
  <sheetProtection sheet="1" objects="1" scenarios="1" sort="0" autoFilter="0"/>
  <sortState xmlns:xlrd2="http://schemas.microsoft.com/office/spreadsheetml/2017/richdata2" ref="D2:E20">
    <sortCondition ref="D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51"/>
  <sheetViews>
    <sheetView workbookViewId="0">
      <selection activeCell="A2" sqref="A2"/>
    </sheetView>
  </sheetViews>
  <sheetFormatPr defaultRowHeight="15" x14ac:dyDescent="0.25"/>
  <cols>
    <col min="1" max="1" width="25.7109375" style="80" customWidth="1"/>
    <col min="2" max="5" width="9.140625" style="80"/>
    <col min="6" max="6" width="15.7109375" style="80" customWidth="1"/>
    <col min="7" max="7" width="9.140625" style="80"/>
    <col min="8" max="13" width="12.5703125" style="80" customWidth="1"/>
    <col min="14" max="16384" width="9.140625" style="80"/>
  </cols>
  <sheetData>
    <row r="1" spans="1:13" ht="15.75" thickBot="1" x14ac:dyDescent="0.3">
      <c r="A1" s="85" t="s">
        <v>39</v>
      </c>
      <c r="F1" s="83" t="s">
        <v>4</v>
      </c>
      <c r="H1" s="111" t="s">
        <v>29</v>
      </c>
      <c r="I1" s="112"/>
      <c r="J1" s="112"/>
      <c r="K1" s="112"/>
      <c r="L1" s="112"/>
      <c r="M1" s="113"/>
    </row>
    <row r="2" spans="1:13" ht="15.75" thickBot="1" x14ac:dyDescent="0.3">
      <c r="A2" s="81" t="s">
        <v>33</v>
      </c>
      <c r="F2" s="84"/>
      <c r="H2" s="114" t="s">
        <v>30</v>
      </c>
      <c r="I2" s="115"/>
      <c r="J2" s="115"/>
      <c r="K2" s="115"/>
      <c r="L2" s="115"/>
      <c r="M2" s="116"/>
    </row>
    <row r="3" spans="1:13" x14ac:dyDescent="0.25">
      <c r="A3" s="82" t="s">
        <v>34</v>
      </c>
      <c r="H3" s="117"/>
      <c r="I3" s="118"/>
      <c r="J3" s="118"/>
      <c r="K3" s="118"/>
      <c r="L3" s="118"/>
      <c r="M3" s="119"/>
    </row>
    <row r="4" spans="1:13" ht="15.75" thickBot="1" x14ac:dyDescent="0.3">
      <c r="A4" s="82" t="s">
        <v>35</v>
      </c>
      <c r="H4" s="120"/>
      <c r="I4" s="121"/>
      <c r="J4" s="121"/>
      <c r="K4" s="121"/>
      <c r="L4" s="121"/>
      <c r="M4" s="122"/>
    </row>
    <row r="5" spans="1:13" ht="15.75" thickBot="1" x14ac:dyDescent="0.3">
      <c r="A5" s="82" t="s">
        <v>36</v>
      </c>
    </row>
    <row r="6" spans="1:13" x14ac:dyDescent="0.25">
      <c r="A6" s="82" t="s">
        <v>37</v>
      </c>
      <c r="H6" s="123" t="s">
        <v>31</v>
      </c>
      <c r="I6" s="124"/>
      <c r="J6" s="124"/>
      <c r="K6" s="124"/>
      <c r="L6" s="124"/>
      <c r="M6" s="125"/>
    </row>
    <row r="7" spans="1:13" x14ac:dyDescent="0.25">
      <c r="A7" s="82" t="s">
        <v>28</v>
      </c>
      <c r="H7" s="126" t="s">
        <v>32</v>
      </c>
      <c r="I7" s="127"/>
      <c r="J7" s="127"/>
      <c r="K7" s="127"/>
      <c r="L7" s="127"/>
      <c r="M7" s="128"/>
    </row>
    <row r="8" spans="1:13" x14ac:dyDescent="0.25">
      <c r="A8" s="82" t="s">
        <v>38</v>
      </c>
      <c r="H8" s="126"/>
      <c r="I8" s="127"/>
      <c r="J8" s="127"/>
      <c r="K8" s="127"/>
      <c r="L8" s="127"/>
      <c r="M8" s="128"/>
    </row>
    <row r="9" spans="1:13" ht="15" customHeight="1" x14ac:dyDescent="0.25">
      <c r="A9" s="86"/>
      <c r="H9" s="126"/>
      <c r="I9" s="127"/>
      <c r="J9" s="127"/>
      <c r="K9" s="127"/>
      <c r="L9" s="127"/>
      <c r="M9" s="128"/>
    </row>
    <row r="10" spans="1:13" x14ac:dyDescent="0.25">
      <c r="A10" s="86"/>
      <c r="H10" s="126"/>
      <c r="I10" s="127"/>
      <c r="J10" s="127"/>
      <c r="K10" s="127"/>
      <c r="L10" s="127"/>
      <c r="M10" s="128"/>
    </row>
    <row r="11" spans="1:13" x14ac:dyDescent="0.25">
      <c r="A11" s="86"/>
      <c r="H11" s="126"/>
      <c r="I11" s="127"/>
      <c r="J11" s="127"/>
      <c r="K11" s="127"/>
      <c r="L11" s="127"/>
      <c r="M11" s="128"/>
    </row>
    <row r="12" spans="1:13" x14ac:dyDescent="0.25">
      <c r="A12" s="87"/>
      <c r="H12" s="126"/>
      <c r="I12" s="127"/>
      <c r="J12" s="127"/>
      <c r="K12" s="127"/>
      <c r="L12" s="127"/>
      <c r="M12" s="128"/>
    </row>
    <row r="13" spans="1:13" x14ac:dyDescent="0.25">
      <c r="A13" s="87"/>
      <c r="H13" s="126"/>
      <c r="I13" s="127"/>
      <c r="J13" s="127"/>
      <c r="K13" s="127"/>
      <c r="L13" s="127"/>
      <c r="M13" s="128"/>
    </row>
    <row r="14" spans="1:13" x14ac:dyDescent="0.25">
      <c r="A14" s="87"/>
      <c r="H14" s="126"/>
      <c r="I14" s="127"/>
      <c r="J14" s="127"/>
      <c r="K14" s="127"/>
      <c r="L14" s="127"/>
      <c r="M14" s="128"/>
    </row>
    <row r="15" spans="1:13" x14ac:dyDescent="0.25">
      <c r="A15" s="87"/>
      <c r="H15" s="126"/>
      <c r="I15" s="127"/>
      <c r="J15" s="127"/>
      <c r="K15" s="127"/>
      <c r="L15" s="127"/>
      <c r="M15" s="128"/>
    </row>
    <row r="16" spans="1:13" x14ac:dyDescent="0.25">
      <c r="A16" s="87"/>
      <c r="H16" s="126"/>
      <c r="I16" s="127"/>
      <c r="J16" s="127"/>
      <c r="K16" s="127"/>
      <c r="L16" s="127"/>
      <c r="M16" s="128"/>
    </row>
    <row r="17" spans="1:13" x14ac:dyDescent="0.25">
      <c r="A17" s="87"/>
      <c r="H17" s="126"/>
      <c r="I17" s="127"/>
      <c r="J17" s="127"/>
      <c r="K17" s="127"/>
      <c r="L17" s="127"/>
      <c r="M17" s="128"/>
    </row>
    <row r="18" spans="1:13" x14ac:dyDescent="0.25">
      <c r="A18" s="87"/>
      <c r="H18" s="126"/>
      <c r="I18" s="127"/>
      <c r="J18" s="127"/>
      <c r="K18" s="127"/>
      <c r="L18" s="127"/>
      <c r="M18" s="128"/>
    </row>
    <row r="19" spans="1:13" x14ac:dyDescent="0.25">
      <c r="A19" s="87"/>
      <c r="H19" s="126"/>
      <c r="I19" s="127"/>
      <c r="J19" s="127"/>
      <c r="K19" s="127"/>
      <c r="L19" s="127"/>
      <c r="M19" s="128"/>
    </row>
    <row r="20" spans="1:13" x14ac:dyDescent="0.25">
      <c r="A20" s="87"/>
      <c r="H20" s="126"/>
      <c r="I20" s="127"/>
      <c r="J20" s="127"/>
      <c r="K20" s="127"/>
      <c r="L20" s="127"/>
      <c r="M20" s="128"/>
    </row>
    <row r="21" spans="1:13" x14ac:dyDescent="0.25">
      <c r="A21" s="87"/>
      <c r="H21" s="126"/>
      <c r="I21" s="127"/>
      <c r="J21" s="127"/>
      <c r="K21" s="127"/>
      <c r="L21" s="127"/>
      <c r="M21" s="128"/>
    </row>
    <row r="22" spans="1:13" x14ac:dyDescent="0.25">
      <c r="A22" s="87"/>
      <c r="H22" s="126"/>
      <c r="I22" s="127"/>
      <c r="J22" s="127"/>
      <c r="K22" s="127"/>
      <c r="L22" s="127"/>
      <c r="M22" s="128"/>
    </row>
    <row r="23" spans="1:13" x14ac:dyDescent="0.25">
      <c r="A23" s="87"/>
      <c r="H23" s="126"/>
      <c r="I23" s="127"/>
      <c r="J23" s="127"/>
      <c r="K23" s="127"/>
      <c r="L23" s="127"/>
      <c r="M23" s="128"/>
    </row>
    <row r="24" spans="1:13" x14ac:dyDescent="0.25">
      <c r="A24" s="87"/>
      <c r="H24" s="126"/>
      <c r="I24" s="127"/>
      <c r="J24" s="127"/>
      <c r="K24" s="127"/>
      <c r="L24" s="127"/>
      <c r="M24" s="128"/>
    </row>
    <row r="25" spans="1:13" x14ac:dyDescent="0.25">
      <c r="A25" s="87"/>
      <c r="H25" s="126"/>
      <c r="I25" s="127"/>
      <c r="J25" s="127"/>
      <c r="K25" s="127"/>
      <c r="L25" s="127"/>
      <c r="M25" s="128"/>
    </row>
    <row r="26" spans="1:13" x14ac:dyDescent="0.25">
      <c r="A26" s="87"/>
      <c r="H26" s="126"/>
      <c r="I26" s="127"/>
      <c r="J26" s="127"/>
      <c r="K26" s="127"/>
      <c r="L26" s="127"/>
      <c r="M26" s="128"/>
    </row>
    <row r="27" spans="1:13" x14ac:dyDescent="0.25">
      <c r="A27" s="87"/>
      <c r="H27" s="126"/>
      <c r="I27" s="127"/>
      <c r="J27" s="127"/>
      <c r="K27" s="127"/>
      <c r="L27" s="127"/>
      <c r="M27" s="128"/>
    </row>
    <row r="28" spans="1:13" x14ac:dyDescent="0.25">
      <c r="A28" s="87"/>
      <c r="H28" s="126"/>
      <c r="I28" s="127"/>
      <c r="J28" s="127"/>
      <c r="K28" s="127"/>
      <c r="L28" s="127"/>
      <c r="M28" s="128"/>
    </row>
    <row r="29" spans="1:13" x14ac:dyDescent="0.25">
      <c r="A29" s="87"/>
      <c r="H29" s="126"/>
      <c r="I29" s="127"/>
      <c r="J29" s="127"/>
      <c r="K29" s="127"/>
      <c r="L29" s="127"/>
      <c r="M29" s="128"/>
    </row>
    <row r="30" spans="1:13" x14ac:dyDescent="0.25">
      <c r="A30" s="87"/>
      <c r="H30" s="126"/>
      <c r="I30" s="127"/>
      <c r="J30" s="127"/>
      <c r="K30" s="127"/>
      <c r="L30" s="127"/>
      <c r="M30" s="128"/>
    </row>
    <row r="31" spans="1:13" x14ac:dyDescent="0.25">
      <c r="A31" s="87"/>
      <c r="H31" s="126"/>
      <c r="I31" s="127"/>
      <c r="J31" s="127"/>
      <c r="K31" s="127"/>
      <c r="L31" s="127"/>
      <c r="M31" s="128"/>
    </row>
    <row r="32" spans="1:13" x14ac:dyDescent="0.25">
      <c r="A32" s="87"/>
      <c r="H32" s="126"/>
      <c r="I32" s="127"/>
      <c r="J32" s="127"/>
      <c r="K32" s="127"/>
      <c r="L32" s="127"/>
      <c r="M32" s="128"/>
    </row>
    <row r="33" spans="1:13" x14ac:dyDescent="0.25">
      <c r="A33" s="87"/>
      <c r="H33" s="126"/>
      <c r="I33" s="127"/>
      <c r="J33" s="127"/>
      <c r="K33" s="127"/>
      <c r="L33" s="127"/>
      <c r="M33" s="128"/>
    </row>
    <row r="34" spans="1:13" ht="15.75" thickBot="1" x14ac:dyDescent="0.3">
      <c r="A34" s="87"/>
      <c r="H34" s="129"/>
      <c r="I34" s="130"/>
      <c r="J34" s="130"/>
      <c r="K34" s="130"/>
      <c r="L34" s="130"/>
      <c r="M34" s="131"/>
    </row>
    <row r="35" spans="1:13" x14ac:dyDescent="0.25">
      <c r="A35" s="87"/>
    </row>
    <row r="36" spans="1:13" x14ac:dyDescent="0.25">
      <c r="A36" s="87"/>
    </row>
    <row r="37" spans="1:13" x14ac:dyDescent="0.25">
      <c r="A37" s="87"/>
    </row>
    <row r="38" spans="1:13" x14ac:dyDescent="0.25">
      <c r="A38" s="87"/>
    </row>
    <row r="39" spans="1:13" x14ac:dyDescent="0.25">
      <c r="A39" s="87"/>
    </row>
    <row r="40" spans="1:13" x14ac:dyDescent="0.25">
      <c r="A40" s="87"/>
    </row>
    <row r="41" spans="1:13" x14ac:dyDescent="0.25">
      <c r="A41" s="87"/>
    </row>
    <row r="42" spans="1:13" x14ac:dyDescent="0.25">
      <c r="A42" s="87"/>
    </row>
    <row r="43" spans="1:13" x14ac:dyDescent="0.25">
      <c r="A43" s="87"/>
    </row>
    <row r="44" spans="1:13" x14ac:dyDescent="0.25">
      <c r="A44" s="87"/>
    </row>
    <row r="45" spans="1:13" x14ac:dyDescent="0.25">
      <c r="A45" s="87"/>
    </row>
    <row r="46" spans="1:13" x14ac:dyDescent="0.25">
      <c r="A46" s="87"/>
    </row>
    <row r="47" spans="1:13" x14ac:dyDescent="0.25">
      <c r="A47" s="87"/>
    </row>
    <row r="48" spans="1:13" x14ac:dyDescent="0.25">
      <c r="A48" s="87"/>
    </row>
    <row r="49" spans="1:1" x14ac:dyDescent="0.25">
      <c r="A49" s="87"/>
    </row>
    <row r="50" spans="1:1" x14ac:dyDescent="0.25">
      <c r="A50" s="87"/>
    </row>
    <row r="51" spans="1:1" ht="15.75" thickBot="1" x14ac:dyDescent="0.3">
      <c r="A51" s="88"/>
    </row>
  </sheetData>
  <sheetProtection sheet="1" objects="1" scenarios="1" selectLockedCells="1" sort="0" autoFilter="0"/>
  <mergeCells count="4">
    <mergeCell ref="H1:M1"/>
    <mergeCell ref="H2:M4"/>
    <mergeCell ref="H6:M6"/>
    <mergeCell ref="H7:M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Change_Password">
                <anchor moveWithCells="1" sizeWithCells="1">
                  <from>
                    <xdr:col>5</xdr:col>
                    <xdr:colOff>95250</xdr:colOff>
                    <xdr:row>3</xdr:row>
                    <xdr:rowOff>76200</xdr:rowOff>
                  </from>
                  <to>
                    <xdr:col>5</xdr:col>
                    <xdr:colOff>933450</xdr:colOff>
                    <xdr:row>5</xdr:row>
                    <xdr:rowOff>104775</xdr:rowOff>
                  </to>
                </anchor>
              </controlPr>
            </control>
          </mc:Choice>
        </mc:AlternateContent>
        <mc:AlternateContent xmlns:mc="http://schemas.openxmlformats.org/markup-compatibility/2006">
          <mc:Choice Requires="x14">
            <control shapeId="4099" r:id="rId4" name="ExtDevMd">
              <controlPr defaultSize="0" print="0" autoFill="0" autoPict="0" macro="[0]!Toggle_DevMode">
                <anchor moveWithCells="1" sizeWithCells="1">
                  <from>
                    <xdr:col>13</xdr:col>
                    <xdr:colOff>190500</xdr:colOff>
                    <xdr:row>1</xdr:row>
                    <xdr:rowOff>76200</xdr:rowOff>
                  </from>
                  <to>
                    <xdr:col>14</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lastModifiedBy>Jeffreys, Duncan</cp:lastModifiedBy>
  <dcterms:created xsi:type="dcterms:W3CDTF">2021-03-09T19:36:23Z</dcterms:created>
  <dcterms:modified xsi:type="dcterms:W3CDTF">2021-03-24T23:56:23Z</dcterms:modified>
</cp:coreProperties>
</file>