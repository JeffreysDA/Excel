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codeName="ThisWorkbook"/>
  <mc:AlternateContent xmlns:mc="http://schemas.openxmlformats.org/markup-compatibility/2006">
    <mc:Choice Requires="x15">
      <x15ac:absPath xmlns:x15ac="http://schemas.microsoft.com/office/spreadsheetml/2010/11/ac" url="\\ccanet\home\19yh8fx2\My Documents\Excel\Time Sheet Calc\"/>
    </mc:Choice>
  </mc:AlternateContent>
  <xr:revisionPtr revIDLastSave="0" documentId="13_ncr:1_{9D7DE4F9-372E-46F6-A870-31D5E12F0421}" xr6:coauthVersionLast="45" xr6:coauthVersionMax="45" xr10:uidLastSave="{00000000-0000-0000-0000-000000000000}"/>
  <workbookProtection lockStructure="1"/>
  <bookViews>
    <workbookView xWindow="19080" yWindow="-120" windowWidth="19440" windowHeight="15000" xr2:uid="{00000000-000D-0000-FFFF-FFFF00000000}"/>
  </bookViews>
  <sheets>
    <sheet name="Welcome" sheetId="3" r:id="rId1"/>
    <sheet name="Logs" sheetId="1" state="veryHidden" r:id="rId2"/>
    <sheet name="Hidden" sheetId="2" state="veryHidden" r:id="rId3"/>
    <sheet name="DevMode" sheetId="4" state="veryHidden" r:id="rId4"/>
  </sheets>
  <functionGroups builtInGroupCount="19"/>
  <definedNames>
    <definedName name="LogType">OFFSET(DevMode!$A$2,0,0,COUNTIF(DevMode!$A$2:$A$51,"&lt;&gt;"))</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39" i="1" l="1"/>
  <c r="B40" i="1"/>
  <c r="B41" i="1"/>
  <c r="B42" i="1"/>
  <c r="B43" i="1"/>
  <c r="B44" i="1"/>
  <c r="B45" i="1"/>
  <c r="B46" i="1"/>
  <c r="B47" i="1"/>
  <c r="B48" i="1"/>
  <c r="B49" i="1"/>
  <c r="B50" i="1"/>
  <c r="B51" i="1"/>
  <c r="B52" i="1"/>
  <c r="B53" i="1"/>
  <c r="B54" i="1"/>
  <c r="B55" i="1"/>
  <c r="A37" i="1" a="1"/>
  <c r="A37" i="1" s="1"/>
  <c r="C39" i="1" l="1"/>
  <c r="C40" i="1"/>
  <c r="C41" i="1"/>
  <c r="C42" i="1"/>
  <c r="C43" i="1"/>
  <c r="C44" i="1"/>
  <c r="C45" i="1"/>
  <c r="C46" i="1"/>
  <c r="C47" i="1"/>
  <c r="C48" i="1"/>
  <c r="C49" i="1"/>
  <c r="C50" i="1"/>
  <c r="C51" i="1"/>
  <c r="C52" i="1"/>
  <c r="C53" i="1"/>
  <c r="C54" i="1"/>
  <c r="C55" i="1"/>
  <c r="A21" i="2"/>
  <c r="B21" i="2"/>
  <c r="D21" i="1" s="1"/>
  <c r="F21" i="2"/>
  <c r="G21" i="2"/>
  <c r="A22" i="2"/>
  <c r="B22" i="2"/>
  <c r="D22" i="1" s="1"/>
  <c r="F22" i="2"/>
  <c r="G22" i="2"/>
  <c r="A23" i="2"/>
  <c r="B23" i="2"/>
  <c r="D23" i="1" s="1"/>
  <c r="E23" i="1" s="1"/>
  <c r="F23" i="2"/>
  <c r="G23" i="2"/>
  <c r="A24" i="2"/>
  <c r="B24" i="2"/>
  <c r="F24" i="2"/>
  <c r="G24" i="2"/>
  <c r="D24" i="1" l="1"/>
  <c r="E22" i="1"/>
  <c r="C22" i="2"/>
  <c r="E21" i="1"/>
  <c r="C21" i="2"/>
  <c r="C24" i="2"/>
  <c r="E24" i="1"/>
  <c r="C23" i="2"/>
  <c r="A3" i="2"/>
  <c r="B3" i="2"/>
  <c r="A4" i="2"/>
  <c r="B4" i="2"/>
  <c r="A5" i="2"/>
  <c r="B5" i="2"/>
  <c r="A6" i="2"/>
  <c r="B6" i="2"/>
  <c r="A7" i="2"/>
  <c r="B7" i="2"/>
  <c r="A8" i="2"/>
  <c r="B8" i="2"/>
  <c r="A9" i="2"/>
  <c r="B9" i="2"/>
  <c r="A10" i="2"/>
  <c r="B10" i="2"/>
  <c r="A11" i="2"/>
  <c r="B11" i="2"/>
  <c r="A12" i="2"/>
  <c r="B12" i="2"/>
  <c r="A13" i="2"/>
  <c r="B13" i="2"/>
  <c r="A14" i="2"/>
  <c r="B14" i="2"/>
  <c r="A15" i="2"/>
  <c r="B15" i="2"/>
  <c r="A16" i="2"/>
  <c r="B16" i="2"/>
  <c r="A17" i="2"/>
  <c r="B17" i="2"/>
  <c r="A18" i="2"/>
  <c r="B18" i="2"/>
  <c r="A19" i="2"/>
  <c r="B19" i="2"/>
  <c r="A20" i="2"/>
  <c r="B20" i="2"/>
  <c r="B2" i="2"/>
  <c r="A2" i="2"/>
  <c r="F3" i="2"/>
  <c r="G3" i="2"/>
  <c r="F4" i="2"/>
  <c r="G4" i="2"/>
  <c r="F5" i="2"/>
  <c r="G5" i="2"/>
  <c r="F6" i="2"/>
  <c r="G6" i="2"/>
  <c r="F7" i="2"/>
  <c r="G7" i="2"/>
  <c r="F8" i="2"/>
  <c r="G8" i="2"/>
  <c r="F9" i="2"/>
  <c r="G9" i="2"/>
  <c r="F10" i="2"/>
  <c r="G10" i="2"/>
  <c r="F11" i="2"/>
  <c r="G11" i="2"/>
  <c r="F12" i="2"/>
  <c r="G12" i="2"/>
  <c r="F13" i="2"/>
  <c r="G13" i="2"/>
  <c r="F14" i="2"/>
  <c r="G14" i="2"/>
  <c r="F15" i="2"/>
  <c r="G15" i="2"/>
  <c r="F16" i="2"/>
  <c r="G16" i="2"/>
  <c r="F17" i="2"/>
  <c r="G17" i="2"/>
  <c r="F18" i="2"/>
  <c r="G18" i="2"/>
  <c r="F19" i="2"/>
  <c r="G19" i="2"/>
  <c r="F20" i="2"/>
  <c r="G20" i="2"/>
  <c r="G2" i="2"/>
  <c r="F2" i="2"/>
  <c r="B25" i="1" l="1"/>
  <c r="D8" i="1"/>
  <c r="D9" i="1"/>
  <c r="D10" i="1"/>
  <c r="C10" i="2" s="1"/>
  <c r="C25" i="1"/>
  <c r="G25" i="2" l="1"/>
  <c r="A25" i="2"/>
  <c r="F25" i="2"/>
  <c r="B25" i="2"/>
  <c r="E8" i="1"/>
  <c r="C8" i="2" s="1"/>
  <c r="E9" i="1"/>
  <c r="C9" i="2"/>
  <c r="D11" i="1"/>
  <c r="C11" i="2" s="1"/>
  <c r="D12" i="1"/>
  <c r="C12" i="2" s="1"/>
  <c r="D13" i="1"/>
  <c r="C13" i="2" s="1"/>
  <c r="D14" i="1"/>
  <c r="C14" i="2" s="1"/>
  <c r="D15" i="1"/>
  <c r="C15" i="2" s="1"/>
  <c r="D16" i="1"/>
  <c r="C16" i="2" s="1"/>
  <c r="D17" i="1"/>
  <c r="C17" i="2" s="1"/>
  <c r="D18" i="1"/>
  <c r="C18" i="2" s="1"/>
  <c r="D19" i="1"/>
  <c r="C19" i="2" s="1"/>
  <c r="D20" i="1"/>
  <c r="C20" i="2" s="1"/>
  <c r="D25" i="1" l="1"/>
  <c r="D5" i="1"/>
  <c r="D6" i="1"/>
  <c r="D7" i="1"/>
  <c r="B38" i="1" s="1"/>
  <c r="C38" i="1" s="1"/>
  <c r="D3" i="1"/>
  <c r="D2" i="1"/>
  <c r="D4" i="1"/>
  <c r="E11" i="1"/>
  <c r="E14" i="1"/>
  <c r="E19" i="1"/>
  <c r="B37" i="1" l="1"/>
  <c r="C37" i="1" s="1"/>
  <c r="E3" i="1"/>
  <c r="C3" i="2"/>
  <c r="E7" i="1"/>
  <c r="C7" i="2" s="1"/>
  <c r="E6" i="1"/>
  <c r="C6" i="2" s="1"/>
  <c r="E2" i="1"/>
  <c r="C2" i="2"/>
  <c r="E17" i="1"/>
  <c r="E15" i="1"/>
  <c r="E12" i="1"/>
  <c r="E13" i="1"/>
  <c r="E18" i="1"/>
  <c r="E5" i="1"/>
  <c r="C5" i="2" s="1"/>
  <c r="E16" i="1"/>
  <c r="E20" i="1"/>
  <c r="E4" i="1"/>
  <c r="C4" i="2" s="1"/>
  <c r="E25" i="1"/>
  <c r="C2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tc={CC9C58FD-CAE9-407B-8805-926CC5E24A1C}</author>
  </authors>
  <commentList>
    <comment ref="F25" authorId="0" shapeId="0" xr:uid="{CC9C58FD-CAE9-407B-8805-926CC5E24A1C}">
      <text>
        <t>[Threaded comment]
Your version of Excel allows you to read this threaded comment; however, any edits to it will get removed if the file is opened in a newer version of Excel. Learn more: https://go.microsoft.com/fwlink/?linkid=870924
Comment:
    Website:
https://github.com/JeffreysDA
Contact:
jeffreysda@gmail.com</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<sst xmlns="http://schemas.openxmlformats.org/spreadsheetml/2006/main" count="50" uniqueCount="47">
  <si>
    <t>WHOLE DAY</t>
  </si>
  <si>
    <t>First Break</t>
  </si>
  <si>
    <t>Lunch Break</t>
  </si>
  <si>
    <t>Second Break</t>
  </si>
  <si>
    <t>Password</t>
  </si>
  <si>
    <t>Description</t>
  </si>
  <si>
    <t>Start</t>
  </si>
  <si>
    <t>End</t>
  </si>
  <si>
    <t>Time Entry</t>
  </si>
  <si>
    <t>Start (H)</t>
  </si>
  <si>
    <t>End (H)</t>
  </si>
  <si>
    <t>Log Entry (H)</t>
  </si>
  <si>
    <t>Scrap Entry (H)</t>
  </si>
  <si>
    <t>Scrap Note (H)</t>
  </si>
  <si>
    <t>Start as Num</t>
  </si>
  <si>
    <t>End as Num</t>
  </si>
  <si>
    <r>
      <rPr>
        <b/>
        <sz val="11"/>
        <color rgb="FFFF0000"/>
        <rFont val="Calibri"/>
        <family val="2"/>
        <scheme val="minor"/>
      </rPr>
      <t>IMPORTANT! READ ALL INSTRUCTIONS BEFORE YOU CONTINUE!</t>
    </r>
    <r>
      <rPr>
        <sz val="11"/>
        <color theme="1"/>
        <rFont val="Calibri"/>
        <family val="2"/>
        <scheme val="minor"/>
      </rPr>
      <t xml:space="preserve">
</t>
    </r>
    <r>
      <rPr>
        <i/>
        <sz val="11"/>
        <color theme="1"/>
        <rFont val="Calibri"/>
        <family val="2"/>
        <scheme val="minor"/>
      </rPr>
      <t>Macros might not be able to run or be utilized as required if this document is located on or opened from a network drive such as SharePoint or Share Drive, nor if this was opened directly from your email as an attachment. It is strongly recommended to save this document to a location on your local machine, such as your Desktop, or Documents folder, then close and reopen it from that location. Once you have opened a local copy of this document, you will need to enable Macros by following the steps below.</t>
    </r>
    <r>
      <rPr>
        <sz val="11"/>
        <color theme="1"/>
        <rFont val="Calibri"/>
        <family val="2"/>
        <scheme val="minor"/>
      </rPr>
      <t xml:space="preserve">
</t>
    </r>
    <r>
      <rPr>
        <b/>
        <sz val="11"/>
        <color theme="1"/>
        <rFont val="Calibri"/>
        <family val="2"/>
        <scheme val="minor"/>
      </rPr>
      <t>Method 1:</t>
    </r>
    <r>
      <rPr>
        <sz val="11"/>
        <color theme="1"/>
        <rFont val="Calibri"/>
        <family val="2"/>
        <scheme val="minor"/>
      </rPr>
      <t xml:space="preserve">
Towards the top left corner, you should see the yellow banner as shown in Figure 1 (to the right). Click “Enable Content” to continue.
If you attempted Method 1, but a red banner as shown in Figure 2 (to the right) replaces the yellow banner, you will need to read and follow the steps in Method 2 before you can enable and utilize this document.
</t>
    </r>
    <r>
      <rPr>
        <b/>
        <sz val="11"/>
        <color theme="1"/>
        <rFont val="Calibri"/>
        <family val="2"/>
        <scheme val="minor"/>
      </rPr>
      <t>Method 2:</t>
    </r>
    <r>
      <rPr>
        <sz val="11"/>
        <color theme="1"/>
        <rFont val="Calibri"/>
        <family val="2"/>
        <scheme val="minor"/>
      </rPr>
      <t xml:space="preserve">
</t>
    </r>
    <r>
      <rPr>
        <sz val="11"/>
        <rFont val="Calibri"/>
        <family val="2"/>
        <scheme val="minor"/>
      </rPr>
      <t xml:space="preserve">Navigate to where you saved this document on your computer and </t>
    </r>
    <r>
      <rPr>
        <sz val="11"/>
        <color theme="1"/>
        <rFont val="Calibri"/>
        <family val="2"/>
        <scheme val="minor"/>
      </rPr>
      <t xml:space="preserve">right click on it, then select “Properties”. See Figure 3 (to the right).
A window should appear. At the bottom of the properties menu, it might suggest that the file could be harmful, and there should be a checkbox to “Unblock” the file. Go ahead and check that box, then click “Apply”, and then click “OK”.  See Figure 4 (to the right).
After you “Unblock” the file, you should close then re-open this document and attempt Method 1 again.
</t>
    </r>
  </si>
  <si>
    <t>Figure 1</t>
  </si>
  <si>
    <t>Figure 2</t>
  </si>
  <si>
    <t>Figure 3</t>
  </si>
  <si>
    <t>Figure 4</t>
  </si>
  <si>
    <t>To check for updates, report an issue, or make a request/suggestion, contact me at</t>
  </si>
  <si>
    <t>Website:</t>
  </si>
  <si>
    <t>https://github.com/JeffreysDA</t>
  </si>
  <si>
    <t>Contact:</t>
  </si>
  <si>
    <t>jeffreysda@gmail.com</t>
  </si>
  <si>
    <t>Training</t>
  </si>
  <si>
    <t>IMPORTANT!</t>
  </si>
  <si>
    <r>
      <t xml:space="preserve">DO NOT SAVE THIS DOCUMENT WHILE IN DEVELOPER MODE! DOING SO MAY CAUSE UNWANTED EFFECTS. EXIT DEVELOPER MODE FIRST, THEN SAVE THE DOCUMENT.
</t>
    </r>
    <r>
      <rPr>
        <b/>
        <sz val="11"/>
        <color rgb="FF0000FF"/>
        <rFont val="Calibri"/>
        <family val="2"/>
        <scheme val="minor"/>
      </rPr>
      <t>Email "jeffreysda@gmail.com" for any questions, issues, or suggestions.</t>
    </r>
  </si>
  <si>
    <t>NOTES:</t>
  </si>
  <si>
    <t xml:space="preserve">Hello and welcome to Developer Mode!
This is where you can safely make changes to this document to further customize it to your needs.
The gray areas help to identify where the changes will be seen, and what will be changed.
The blue areas are where you make your changes, such as the roster names, the name of a Duty position, the list of companies, etc.
You can even edit this NOTES area to keep your own notes, memos, tips, or really whatever you want.
Some of the option edit information that is used to create other documents, so do be careful when making changes.
If there are any changes that you want to make that cannot be done using Developer Mode, please send an email to jeffreysda@gmail.com with the Subject of "Duty Roster TEMPLATE", and explain what changes need to be made.
If you attempt to make your own changes outside of Developer Mode, you might break the underlying Macros that allow this document to work properly.
TIPS:
- If you hold "Alt" and press "Enter" you can make a new line in this notepad.
- Copy and Paste your notes into a Word document to check for spelling errors before putting them in here.
</t>
  </si>
  <si>
    <t>Absence with Permission</t>
  </si>
  <si>
    <t>Administrative Duties</t>
  </si>
  <si>
    <t>General Time</t>
  </si>
  <si>
    <t>Sick Leave</t>
  </si>
  <si>
    <t>Vacation</t>
  </si>
  <si>
    <t>Type of Log</t>
  </si>
  <si>
    <t>Bereavement</t>
  </si>
  <si>
    <t>Dependent Care Sick</t>
  </si>
  <si>
    <t>Employee Study Leave</t>
  </si>
  <si>
    <t>Jury Duty</t>
  </si>
  <si>
    <t>Lean Activities/Events</t>
  </si>
  <si>
    <t>Secure Labs</t>
  </si>
  <si>
    <t>Version: 1.1</t>
  </si>
  <si>
    <t>SUMMARY</t>
  </si>
  <si>
    <t>Time Spent</t>
  </si>
  <si>
    <t>Log Notes (Optional)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</si>
</sst>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h:mm;@"/>
    <numFmt numFmtId="165" formatCode="0.0"/>
    <numFmt numFmtId="166" formatCode="0000"/>
  </numFmts>
  <fonts count="17" x14ac:knownFonts="1">
    <font>
      <sz val="11"/>
      <color theme="1"/>
      <name val="Calibri"/>
      <family val="2"/>
      <scheme val="minor"/>
    </font>
    <font>
      <sz val="11"/>
      <color theme="1"/>
      <name val="Calibri"/>
      <family val="2"/>
      <scheme val="minor"/>
    </font>
    <font>
      <b/>
      <sz val="11"/>
      <color theme="1"/>
      <name val="Calibri"/>
      <family val="2"/>
      <scheme val="minor"/>
    </font>
    <font>
      <sz val="11"/>
      <color rgb="FF000000"/>
      <name val="Calibri"/>
      <family val="2"/>
    </font>
    <font>
      <sz val="8"/>
      <color rgb="FF000000"/>
      <name val="Segoe UI"/>
      <family val="2"/>
    </font>
    <font>
      <i/>
      <sz val="11"/>
      <color theme="1"/>
      <name val="Calibri"/>
      <family val="2"/>
      <scheme val="minor"/>
    </font>
    <font>
      <b/>
      <i/>
      <sz val="11"/>
      <color rgb="FF7030A0"/>
      <name val="Calibri"/>
      <family val="2"/>
      <scheme val="minor"/>
    </font>
    <font>
      <b/>
      <sz val="11"/>
      <color rgb="FFFF0000"/>
      <name val="Calibri"/>
      <family val="2"/>
      <scheme val="minor"/>
    </font>
    <font>
      <sz val="11"/>
      <name val="Calibri"/>
      <family val="2"/>
      <scheme val="minor"/>
    </font>
    <font>
      <sz val="10.5"/>
      <color theme="1"/>
      <name val="Calibri"/>
      <family val="2"/>
      <scheme val="minor"/>
    </font>
    <font>
      <u/>
      <sz val="11"/>
      <color theme="10"/>
      <name val="Calibri"/>
      <family val="2"/>
      <scheme val="minor"/>
    </font>
    <font>
      <sz val="10.5"/>
      <color theme="10"/>
      <name val="Calibri"/>
      <family val="2"/>
      <scheme val="minor"/>
    </font>
    <font>
      <b/>
      <sz val="11"/>
      <color rgb="FF0000FF"/>
      <name val="Calibri"/>
      <family val="2"/>
      <scheme val="minor"/>
    </font>
    <font>
      <b/>
      <u/>
      <sz val="11"/>
      <color theme="1"/>
      <name val="Calibri"/>
      <family val="2"/>
      <scheme val="minor"/>
    </font>
    <font>
      <b/>
      <sz val="11"/>
      <color rgb="FFC00000"/>
      <name val="Calibri"/>
      <family val="2"/>
      <scheme val="minor"/>
    </font>
    <font>
      <b/>
      <sz val="11"/>
      <color rgb="FF00B0F0"/>
      <name val="Calibri"/>
      <family val="2"/>
      <scheme val="minor"/>
    </font>
    <font>
      <b/>
      <sz val="11"/>
      <color theme="5"/>
      <name val="Calibri"/>
      <family val="2"/>
      <scheme val="minor"/>
    </font>
  </fonts>
  <fills count="20">
    <fill>
      <patternFill patternType="none"/>
    </fill>
    <fill>
      <patternFill patternType="gray125"/>
    </fill>
    <fill>
      <patternFill patternType="solid">
        <fgColor theme="0" tint="-4.9989318521683403E-2"/>
        <bgColor indexed="64"/>
      </patternFill>
    </fill>
    <fill>
      <patternFill patternType="solid">
        <fgColor theme="0" tint="-0.14999847407452621"/>
        <bgColor indexed="64"/>
      </patternFill>
    </fill>
    <fill>
      <patternFill patternType="solid">
        <fgColor theme="4" tint="0.39997558519241921"/>
        <bgColor indexed="64"/>
      </patternFill>
    </fill>
    <fill>
      <patternFill patternType="solid">
        <fgColor theme="4" tint="-0.249977111117893"/>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rgb="FFFFFFCC"/>
      </patternFill>
    </fill>
    <fill>
      <patternFill patternType="solid">
        <fgColor theme="0"/>
        <bgColor indexed="64"/>
      </patternFill>
    </fill>
    <fill>
      <patternFill patternType="solid">
        <fgColor rgb="FF92D050"/>
        <bgColor indexed="64"/>
      </patternFill>
    </fill>
    <fill>
      <patternFill patternType="solid">
        <fgColor theme="9" tint="0.59999389629810485"/>
        <bgColor indexed="64"/>
      </patternFill>
    </fill>
    <fill>
      <patternFill patternType="solid">
        <fgColor theme="0" tint="-0.249977111117893"/>
        <bgColor indexed="64"/>
      </patternFill>
    </fill>
    <fill>
      <patternFill patternType="solid">
        <fgColor theme="9"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7" tint="0.39997558519241921"/>
        <bgColor indexed="64"/>
      </patternFill>
    </fill>
    <fill>
      <patternFill patternType="solid">
        <fgColor theme="4" tint="-0.499984740745262"/>
        <bgColor indexed="64"/>
      </patternFill>
    </fill>
    <fill>
      <patternFill patternType="solid">
        <fgColor theme="9" tint="0.39997558519241921"/>
        <bgColor indexed="64"/>
      </patternFill>
    </fill>
    <fill>
      <patternFill patternType="solid">
        <fgColor theme="9" tint="-0.249977111117893"/>
        <bgColor indexed="64"/>
      </patternFill>
    </fill>
  </fills>
  <borders count="72">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top style="medium">
        <color indexed="64"/>
      </top>
      <bottom style="medium">
        <color indexed="64"/>
      </bottom>
      <diagonal/>
    </border>
    <border>
      <left style="thin">
        <color indexed="64"/>
      </left>
      <right/>
      <top style="medium">
        <color indexed="64"/>
      </top>
      <bottom style="thin">
        <color indexed="64"/>
      </bottom>
      <diagonal/>
    </border>
    <border>
      <left style="medium">
        <color indexed="64"/>
      </left>
      <right/>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style="thin">
        <color indexed="64"/>
      </left>
      <right style="thin">
        <color indexed="64"/>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thin">
        <color rgb="FFB2B2B2"/>
      </left>
      <right style="thin">
        <color rgb="FFB2B2B2"/>
      </right>
      <top style="thin">
        <color rgb="FFB2B2B2"/>
      </top>
      <bottom style="thin">
        <color rgb="FFB2B2B2"/>
      </bottom>
      <diagonal/>
    </border>
    <border>
      <left style="medium">
        <color indexed="64"/>
      </left>
      <right style="thin">
        <color rgb="FFB2B2B2"/>
      </right>
      <top style="medium">
        <color indexed="64"/>
      </top>
      <bottom style="thin">
        <color rgb="FFB2B2B2"/>
      </bottom>
      <diagonal/>
    </border>
    <border>
      <left style="thin">
        <color rgb="FFB2B2B2"/>
      </left>
      <right style="thin">
        <color rgb="FFB2B2B2"/>
      </right>
      <top style="medium">
        <color indexed="64"/>
      </top>
      <bottom style="thin">
        <color rgb="FFB2B2B2"/>
      </bottom>
      <diagonal/>
    </border>
    <border>
      <left style="thin">
        <color rgb="FFB2B2B2"/>
      </left>
      <right style="medium">
        <color indexed="64"/>
      </right>
      <top style="medium">
        <color indexed="64"/>
      </top>
      <bottom style="thin">
        <color rgb="FFB2B2B2"/>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medium">
        <color indexed="64"/>
      </left>
      <right style="thin">
        <color rgb="FFB2B2B2"/>
      </right>
      <top style="thin">
        <color rgb="FFB2B2B2"/>
      </top>
      <bottom style="thin">
        <color rgb="FFB2B2B2"/>
      </bottom>
      <diagonal/>
    </border>
    <border>
      <left style="thin">
        <color rgb="FFB2B2B2"/>
      </left>
      <right style="medium">
        <color indexed="64"/>
      </right>
      <top style="thin">
        <color rgb="FFB2B2B2"/>
      </top>
      <bottom style="thin">
        <color rgb="FFB2B2B2"/>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indexed="64"/>
      </left>
      <right style="thin">
        <color rgb="FFB2B2B2"/>
      </right>
      <top style="thin">
        <color rgb="FFB2B2B2"/>
      </top>
      <bottom style="medium">
        <color indexed="64"/>
      </bottom>
      <diagonal/>
    </border>
    <border>
      <left style="thin">
        <color rgb="FFB2B2B2"/>
      </left>
      <right style="thin">
        <color rgb="FFB2B2B2"/>
      </right>
      <top style="thin">
        <color rgb="FFB2B2B2"/>
      </top>
      <bottom style="medium">
        <color indexed="64"/>
      </bottom>
      <diagonal/>
    </border>
    <border>
      <left style="thin">
        <color rgb="FFB2B2B2"/>
      </left>
      <right style="medium">
        <color indexed="64"/>
      </right>
      <top style="thin">
        <color rgb="FFB2B2B2"/>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top/>
      <bottom style="medium">
        <color indexed="64"/>
      </bottom>
      <diagonal/>
    </border>
    <border>
      <left/>
      <right style="thin">
        <color indexed="64"/>
      </right>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4">
    <xf numFmtId="0" fontId="0" fillId="0" borderId="0"/>
    <xf numFmtId="9" fontId="1" fillId="0" borderId="0" applyFont="0" applyFill="0" applyBorder="0" applyAlignment="0" applyProtection="0"/>
    <xf numFmtId="0" fontId="1" fillId="8" borderId="25" applyNumberFormat="0" applyFont="0" applyAlignment="0" applyProtection="0"/>
    <xf numFmtId="0" fontId="10" fillId="0" borderId="0" applyNumberFormat="0" applyFill="0" applyBorder="0" applyAlignment="0" applyProtection="0"/>
  </cellStyleXfs>
  <cellXfs count="161">
    <xf numFmtId="0" fontId="0" fillId="0" borderId="0" xfId="0"/>
    <xf numFmtId="0" fontId="2" fillId="3" borderId="2" xfId="0" applyFont="1" applyFill="1" applyBorder="1" applyAlignment="1" applyProtection="1">
      <alignment horizontal="center" vertical="center"/>
    </xf>
    <xf numFmtId="0" fontId="0" fillId="0" borderId="0" xfId="0" applyProtection="1"/>
    <xf numFmtId="49" fontId="0" fillId="0" borderId="3" xfId="0" applyNumberFormat="1" applyBorder="1" applyProtection="1">
      <protection locked="0"/>
    </xf>
    <xf numFmtId="1" fontId="0" fillId="0" borderId="4" xfId="0" applyNumberFormat="1" applyBorder="1" applyProtection="1"/>
    <xf numFmtId="1" fontId="0" fillId="0" borderId="12" xfId="0" applyNumberFormat="1" applyBorder="1" applyProtection="1"/>
    <xf numFmtId="1" fontId="0" fillId="0" borderId="6" xfId="0" applyNumberFormat="1" applyBorder="1" applyProtection="1"/>
    <xf numFmtId="1" fontId="0" fillId="0" borderId="13" xfId="0" applyNumberFormat="1" applyBorder="1" applyProtection="1"/>
    <xf numFmtId="1" fontId="0" fillId="0" borderId="14" xfId="0" applyNumberFormat="1" applyBorder="1" applyProtection="1"/>
    <xf numFmtId="0" fontId="2" fillId="3" borderId="20" xfId="0" applyFont="1" applyFill="1" applyBorder="1" applyAlignment="1" applyProtection="1">
      <alignment horizontal="center" vertical="center"/>
    </xf>
    <xf numFmtId="164" fontId="0" fillId="2" borderId="4" xfId="0" applyNumberFormat="1" applyFill="1" applyBorder="1" applyAlignment="1" applyProtection="1">
      <alignment horizontal="center" vertical="center"/>
    </xf>
    <xf numFmtId="164" fontId="0" fillId="2" borderId="6" xfId="0" applyNumberFormat="1" applyFill="1" applyBorder="1" applyAlignment="1" applyProtection="1">
      <alignment horizontal="center" vertical="center"/>
    </xf>
    <xf numFmtId="164" fontId="0" fillId="2" borderId="7" xfId="0" applyNumberFormat="1" applyFill="1" applyBorder="1" applyAlignment="1" applyProtection="1">
      <alignment horizontal="center" vertical="center"/>
    </xf>
    <xf numFmtId="49" fontId="0" fillId="0" borderId="10" xfId="0" applyNumberFormat="1" applyBorder="1" applyProtection="1">
      <protection locked="0"/>
    </xf>
    <xf numFmtId="0" fontId="2" fillId="4" borderId="2" xfId="0" applyFont="1" applyFill="1" applyBorder="1" applyAlignment="1">
      <alignment horizontal="center" vertical="center"/>
    </xf>
    <xf numFmtId="0" fontId="2" fillId="4" borderId="9" xfId="0" applyFont="1" applyFill="1" applyBorder="1" applyAlignment="1">
      <alignment horizontal="center" vertical="center"/>
    </xf>
    <xf numFmtId="0" fontId="0" fillId="4" borderId="9" xfId="0" applyFill="1" applyBorder="1" applyAlignment="1">
      <alignment vertical="center"/>
    </xf>
    <xf numFmtId="0" fontId="0" fillId="4" borderId="9" xfId="0" applyFill="1" applyBorder="1" applyAlignment="1" applyProtection="1">
      <alignment vertical="center"/>
      <protection locked="0"/>
    </xf>
    <xf numFmtId="0" fontId="0" fillId="4" borderId="9" xfId="0" applyFill="1" applyBorder="1" applyProtection="1">
      <protection locked="0"/>
    </xf>
    <xf numFmtId="0" fontId="0" fillId="4" borderId="11" xfId="0" applyFill="1" applyBorder="1" applyAlignment="1">
      <alignment vertical="center"/>
    </xf>
    <xf numFmtId="0" fontId="0" fillId="5" borderId="0" xfId="0" applyFill="1"/>
    <xf numFmtId="166" fontId="0" fillId="6" borderId="4" xfId="0" applyNumberFormat="1" applyFill="1" applyBorder="1" applyAlignment="1" applyProtection="1">
      <alignment horizontal="center" vertical="center"/>
      <protection locked="0"/>
    </xf>
    <xf numFmtId="166" fontId="0" fillId="6" borderId="5" xfId="0" applyNumberFormat="1" applyFill="1" applyBorder="1" applyAlignment="1" applyProtection="1">
      <alignment horizontal="center" vertical="center"/>
      <protection locked="0"/>
    </xf>
    <xf numFmtId="166" fontId="0" fillId="6" borderId="6" xfId="0" applyNumberFormat="1" applyFill="1" applyBorder="1" applyAlignment="1" applyProtection="1">
      <alignment horizontal="center" vertical="center"/>
      <protection locked="0"/>
    </xf>
    <xf numFmtId="166" fontId="0" fillId="6" borderId="1" xfId="0" applyNumberFormat="1" applyFill="1" applyBorder="1" applyAlignment="1" applyProtection="1">
      <alignment horizontal="center" vertical="center"/>
      <protection locked="0"/>
    </xf>
    <xf numFmtId="166" fontId="0" fillId="6" borderId="7" xfId="0" applyNumberFormat="1" applyFill="1" applyBorder="1" applyAlignment="1" applyProtection="1">
      <alignment horizontal="center" vertical="center"/>
      <protection locked="0"/>
    </xf>
    <xf numFmtId="166" fontId="0" fillId="6" borderId="8" xfId="0" applyNumberFormat="1" applyFill="1" applyBorder="1" applyAlignment="1" applyProtection="1">
      <alignment horizontal="center" vertical="center"/>
      <protection locked="0"/>
    </xf>
    <xf numFmtId="0" fontId="6" fillId="4" borderId="9" xfId="0" applyFont="1" applyFill="1" applyBorder="1" applyAlignment="1">
      <alignment horizontal="center" vertical="center"/>
    </xf>
    <xf numFmtId="164" fontId="0" fillId="7" borderId="5" xfId="0" applyNumberFormat="1" applyFill="1" applyBorder="1" applyAlignment="1" applyProtection="1">
      <alignment horizontal="center" vertical="center"/>
    </xf>
    <xf numFmtId="165" fontId="0" fillId="7" borderId="12" xfId="1" applyNumberFormat="1" applyFont="1" applyFill="1" applyBorder="1" applyAlignment="1" applyProtection="1">
      <alignment horizontal="center" vertical="center"/>
    </xf>
    <xf numFmtId="164" fontId="0" fillId="7" borderId="1" xfId="0" applyNumberFormat="1" applyFill="1" applyBorder="1" applyAlignment="1" applyProtection="1">
      <alignment horizontal="center" vertical="center"/>
    </xf>
    <xf numFmtId="165" fontId="0" fillId="7" borderId="13" xfId="1" applyNumberFormat="1" applyFont="1" applyFill="1" applyBorder="1" applyAlignment="1" applyProtection="1">
      <alignment horizontal="center" vertical="center"/>
    </xf>
    <xf numFmtId="164" fontId="5" fillId="7" borderId="8" xfId="0" applyNumberFormat="1" applyFont="1" applyFill="1" applyBorder="1" applyAlignment="1" applyProtection="1">
      <alignment horizontal="center" vertical="center"/>
    </xf>
    <xf numFmtId="165" fontId="5" fillId="7" borderId="14" xfId="1" applyNumberFormat="1" applyFont="1" applyFill="1" applyBorder="1" applyAlignment="1" applyProtection="1">
      <alignment horizontal="center" vertical="center"/>
    </xf>
    <xf numFmtId="164" fontId="5" fillId="7" borderId="1" xfId="0" applyNumberFormat="1" applyFont="1" applyFill="1" applyBorder="1" applyAlignment="1" applyProtection="1">
      <alignment horizontal="center" vertical="center"/>
    </xf>
    <xf numFmtId="165" fontId="5" fillId="7" borderId="13" xfId="1" applyNumberFormat="1" applyFont="1" applyFill="1" applyBorder="1" applyAlignment="1" applyProtection="1">
      <alignment horizontal="center" vertical="center"/>
    </xf>
    <xf numFmtId="0" fontId="0" fillId="9" borderId="0" xfId="0" applyFill="1" applyBorder="1"/>
    <xf numFmtId="0" fontId="2" fillId="9" borderId="29" xfId="0" applyFont="1" applyFill="1" applyBorder="1" applyAlignment="1">
      <alignment horizontal="center" vertical="center"/>
    </xf>
    <xf numFmtId="0" fontId="0" fillId="9" borderId="30" xfId="0" applyFill="1" applyBorder="1"/>
    <xf numFmtId="0" fontId="0" fillId="9" borderId="31" xfId="0" applyFill="1" applyBorder="1"/>
    <xf numFmtId="0" fontId="0" fillId="9" borderId="34" xfId="0" applyFill="1" applyBorder="1"/>
    <xf numFmtId="0" fontId="0" fillId="9" borderId="35" xfId="0" applyFill="1" applyBorder="1"/>
    <xf numFmtId="0" fontId="2" fillId="9" borderId="30" xfId="0" applyFont="1" applyFill="1" applyBorder="1" applyAlignment="1">
      <alignment horizontal="center" vertical="center"/>
    </xf>
    <xf numFmtId="0" fontId="0" fillId="9" borderId="36" xfId="0" applyFill="1" applyBorder="1"/>
    <xf numFmtId="0" fontId="0" fillId="9" borderId="37" xfId="0" applyFill="1" applyBorder="1"/>
    <xf numFmtId="0" fontId="0" fillId="9" borderId="38" xfId="0" applyFill="1" applyBorder="1"/>
    <xf numFmtId="0" fontId="0" fillId="9" borderId="0" xfId="0" applyFill="1"/>
    <xf numFmtId="0" fontId="2" fillId="10" borderId="2" xfId="0" applyFont="1" applyFill="1" applyBorder="1" applyAlignment="1">
      <alignment vertical="center"/>
    </xf>
    <xf numFmtId="164" fontId="0" fillId="2" borderId="10" xfId="0" applyNumberFormat="1" applyFill="1" applyBorder="1" applyAlignment="1" applyProtection="1">
      <alignment horizontal="center" vertical="center"/>
    </xf>
    <xf numFmtId="164" fontId="0" fillId="2" borderId="3" xfId="0" applyNumberFormat="1" applyFill="1" applyBorder="1" applyAlignment="1" applyProtection="1">
      <alignment horizontal="center" vertical="center"/>
    </xf>
    <xf numFmtId="0" fontId="2" fillId="3" borderId="42" xfId="0" applyFont="1" applyFill="1" applyBorder="1" applyAlignment="1" applyProtection="1">
      <alignment horizontal="center" vertical="center"/>
    </xf>
    <xf numFmtId="0" fontId="2" fillId="3" borderId="44" xfId="0" applyFont="1" applyFill="1" applyBorder="1" applyAlignment="1" applyProtection="1">
      <alignment horizontal="center" vertical="center"/>
    </xf>
    <xf numFmtId="49" fontId="0" fillId="0" borderId="22" xfId="0" applyNumberFormat="1" applyBorder="1" applyProtection="1">
      <protection locked="0"/>
    </xf>
    <xf numFmtId="49" fontId="0" fillId="0" borderId="23" xfId="0" applyNumberFormat="1" applyBorder="1" applyProtection="1">
      <protection locked="0"/>
    </xf>
    <xf numFmtId="49" fontId="0" fillId="0" borderId="24" xfId="0" applyNumberFormat="1" applyBorder="1" applyProtection="1">
      <protection locked="0"/>
    </xf>
    <xf numFmtId="0" fontId="0" fillId="0" borderId="51" xfId="0" applyNumberFormat="1" applyBorder="1" applyProtection="1"/>
    <xf numFmtId="0" fontId="0" fillId="0" borderId="52" xfId="0" applyNumberFormat="1" applyBorder="1" applyProtection="1"/>
    <xf numFmtId="0" fontId="0" fillId="0" borderId="53" xfId="0" applyNumberFormat="1" applyBorder="1" applyProtection="1"/>
    <xf numFmtId="164" fontId="5" fillId="7" borderId="5" xfId="0" applyNumberFormat="1" applyFont="1" applyFill="1" applyBorder="1" applyAlignment="1" applyProtection="1">
      <alignment horizontal="center" vertical="center"/>
    </xf>
    <xf numFmtId="165" fontId="5" fillId="7" borderId="12" xfId="1" applyNumberFormat="1" applyFont="1" applyFill="1" applyBorder="1" applyAlignment="1" applyProtection="1">
      <alignment horizontal="center" vertical="center"/>
    </xf>
    <xf numFmtId="0" fontId="0" fillId="13" borderId="0" xfId="0" applyFill="1" applyProtection="1"/>
    <xf numFmtId="49" fontId="0" fillId="7" borderId="51" xfId="0" applyNumberFormat="1" applyFill="1" applyBorder="1" applyAlignment="1" applyProtection="1">
      <protection locked="0"/>
    </xf>
    <xf numFmtId="49" fontId="0" fillId="7" borderId="52" xfId="0" applyNumberFormat="1" applyFill="1" applyBorder="1" applyAlignment="1" applyProtection="1">
      <protection locked="0"/>
    </xf>
    <xf numFmtId="0" fontId="14" fillId="16" borderId="2" xfId="0" applyFont="1" applyFill="1" applyBorder="1" applyAlignment="1" applyProtection="1">
      <alignment horizontal="center" vertical="center"/>
    </xf>
    <xf numFmtId="49" fontId="0" fillId="7" borderId="59" xfId="0" applyNumberFormat="1" applyFill="1" applyBorder="1" applyProtection="1">
      <protection locked="0"/>
    </xf>
    <xf numFmtId="0" fontId="2" fillId="12" borderId="20" xfId="0" applyFont="1" applyFill="1" applyBorder="1" applyAlignment="1" applyProtection="1">
      <alignment horizontal="center" vertical="center"/>
    </xf>
    <xf numFmtId="0" fontId="0" fillId="7" borderId="52" xfId="0" applyFill="1" applyBorder="1" applyAlignment="1" applyProtection="1">
      <protection locked="0"/>
    </xf>
    <xf numFmtId="0" fontId="0" fillId="7" borderId="52" xfId="0" applyFill="1" applyBorder="1" applyProtection="1">
      <protection locked="0"/>
    </xf>
    <xf numFmtId="0" fontId="0" fillId="7" borderId="53" xfId="0" applyFill="1" applyBorder="1" applyProtection="1">
      <protection locked="0"/>
    </xf>
    <xf numFmtId="164" fontId="0" fillId="2" borderId="60" xfId="0" applyNumberFormat="1" applyFill="1" applyBorder="1" applyAlignment="1" applyProtection="1">
      <alignment horizontal="center" vertical="center"/>
    </xf>
    <xf numFmtId="164" fontId="0" fillId="2" borderId="63" xfId="0" applyNumberFormat="1" applyFill="1" applyBorder="1" applyAlignment="1" applyProtection="1">
      <alignment horizontal="center" vertical="center"/>
    </xf>
    <xf numFmtId="1" fontId="0" fillId="0" borderId="60" xfId="0" applyNumberFormat="1" applyBorder="1" applyProtection="1"/>
    <xf numFmtId="1" fontId="0" fillId="0" borderId="62" xfId="0" applyNumberFormat="1" applyBorder="1" applyProtection="1"/>
    <xf numFmtId="1" fontId="0" fillId="0" borderId="65" xfId="0" applyNumberFormat="1" applyBorder="1" applyProtection="1"/>
    <xf numFmtId="1" fontId="0" fillId="0" borderId="66" xfId="0" applyNumberFormat="1" applyBorder="1" applyProtection="1"/>
    <xf numFmtId="1" fontId="0" fillId="0" borderId="22" xfId="0" applyNumberFormat="1" applyBorder="1" applyProtection="1"/>
    <xf numFmtId="1" fontId="0" fillId="0" borderId="23" xfId="0" applyNumberFormat="1" applyBorder="1" applyProtection="1"/>
    <xf numFmtId="1" fontId="0" fillId="0" borderId="24" xfId="0" applyNumberFormat="1" applyBorder="1" applyProtection="1"/>
    <xf numFmtId="49" fontId="0" fillId="0" borderId="31" xfId="0" applyNumberFormat="1" applyBorder="1" applyProtection="1">
      <protection locked="0"/>
    </xf>
    <xf numFmtId="49" fontId="0" fillId="0" borderId="29" xfId="0" applyNumberFormat="1" applyBorder="1" applyAlignment="1" applyProtection="1">
      <alignment wrapText="1"/>
      <protection locked="0"/>
    </xf>
    <xf numFmtId="164" fontId="0" fillId="0" borderId="64" xfId="0" applyNumberFormat="1" applyBorder="1" applyProtection="1">
      <protection locked="0"/>
    </xf>
    <xf numFmtId="0" fontId="0" fillId="0" borderId="63" xfId="0" applyBorder="1" applyProtection="1">
      <protection locked="0"/>
    </xf>
    <xf numFmtId="49" fontId="0" fillId="0" borderId="12" xfId="0" applyNumberFormat="1" applyBorder="1" applyAlignment="1" applyProtection="1">
      <alignment wrapText="1"/>
      <protection locked="0"/>
    </xf>
    <xf numFmtId="49" fontId="0" fillId="0" borderId="13" xfId="0" applyNumberFormat="1" applyBorder="1" applyProtection="1">
      <protection locked="0"/>
    </xf>
    <xf numFmtId="49" fontId="0" fillId="0" borderId="13" xfId="0" applyNumberFormat="1" applyBorder="1" applyAlignment="1" applyProtection="1">
      <alignment wrapText="1"/>
      <protection locked="0"/>
    </xf>
    <xf numFmtId="49" fontId="0" fillId="0" borderId="14" xfId="0" applyNumberFormat="1" applyBorder="1" applyProtection="1">
      <protection locked="0"/>
    </xf>
    <xf numFmtId="0" fontId="0" fillId="0" borderId="67" xfId="0" applyNumberFormat="1" applyBorder="1" applyProtection="1"/>
    <xf numFmtId="164" fontId="0" fillId="2" borderId="65" xfId="0" applyNumberFormat="1" applyFill="1" applyBorder="1" applyAlignment="1" applyProtection="1">
      <alignment horizontal="center" vertical="center"/>
    </xf>
    <xf numFmtId="164" fontId="0" fillId="2" borderId="29" xfId="0" applyNumberFormat="1" applyFill="1" applyBorder="1" applyAlignment="1" applyProtection="1">
      <alignment horizontal="center" vertical="center"/>
    </xf>
    <xf numFmtId="0" fontId="0" fillId="0" borderId="59" xfId="0" applyNumberFormat="1" applyBorder="1" applyProtection="1"/>
    <xf numFmtId="164" fontId="0" fillId="2" borderId="12" xfId="0" applyNumberFormat="1" applyFill="1" applyBorder="1" applyAlignment="1" applyProtection="1">
      <alignment horizontal="center" vertical="center"/>
    </xf>
    <xf numFmtId="164" fontId="0" fillId="2" borderId="13" xfId="0" applyNumberFormat="1" applyFill="1" applyBorder="1" applyAlignment="1" applyProtection="1">
      <alignment horizontal="center" vertical="center"/>
    </xf>
    <xf numFmtId="164" fontId="0" fillId="2" borderId="14" xfId="0" applyNumberFormat="1" applyFill="1" applyBorder="1" applyAlignment="1" applyProtection="1">
      <alignment horizontal="center" vertical="center"/>
    </xf>
    <xf numFmtId="166" fontId="0" fillId="6" borderId="65" xfId="0" applyNumberFormat="1" applyFill="1" applyBorder="1" applyAlignment="1" applyProtection="1">
      <alignment horizontal="center" vertical="center"/>
      <protection locked="0"/>
    </xf>
    <xf numFmtId="166" fontId="0" fillId="6" borderId="68" xfId="0" applyNumberFormat="1" applyFill="1" applyBorder="1" applyAlignment="1" applyProtection="1">
      <alignment horizontal="center" vertical="center"/>
      <protection locked="0"/>
    </xf>
    <xf numFmtId="164" fontId="5" fillId="7" borderId="68" xfId="0" applyNumberFormat="1" applyFont="1" applyFill="1" applyBorder="1" applyAlignment="1" applyProtection="1">
      <alignment horizontal="center" vertical="center"/>
    </xf>
    <xf numFmtId="165" fontId="5" fillId="7" borderId="66" xfId="1" applyNumberFormat="1" applyFont="1" applyFill="1" applyBorder="1" applyAlignment="1" applyProtection="1">
      <alignment horizontal="center" vertical="center"/>
    </xf>
    <xf numFmtId="166" fontId="6" fillId="4" borderId="60" xfId="0" applyNumberFormat="1" applyFont="1" applyFill="1" applyBorder="1" applyAlignment="1" applyProtection="1">
      <alignment horizontal="center" vertical="center"/>
    </xf>
    <xf numFmtId="166" fontId="6" fillId="4" borderId="61" xfId="0" applyNumberFormat="1" applyFont="1" applyFill="1" applyBorder="1" applyAlignment="1" applyProtection="1">
      <alignment horizontal="center" vertical="center"/>
    </xf>
    <xf numFmtId="164" fontId="6" fillId="4" borderId="61" xfId="0" applyNumberFormat="1" applyFont="1" applyFill="1" applyBorder="1" applyAlignment="1" applyProtection="1">
      <alignment horizontal="center" vertical="center"/>
    </xf>
    <xf numFmtId="165" fontId="6" fillId="4" borderId="62" xfId="1" applyNumberFormat="1" applyFont="1" applyFill="1" applyBorder="1" applyAlignment="1" applyProtection="1">
      <alignment horizontal="center" vertical="center"/>
    </xf>
    <xf numFmtId="0" fontId="15" fillId="17" borderId="59" xfId="0" applyFont="1" applyFill="1" applyBorder="1" applyAlignment="1">
      <alignment horizontal="center" vertical="center"/>
    </xf>
    <xf numFmtId="0" fontId="2" fillId="18" borderId="20" xfId="0" applyFont="1" applyFill="1" applyBorder="1" applyAlignment="1">
      <alignment horizontal="center" vertical="center"/>
    </xf>
    <xf numFmtId="164" fontId="0" fillId="11" borderId="4" xfId="0" applyNumberFormat="1" applyFill="1" applyBorder="1" applyAlignment="1">
      <alignment horizontal="center" vertical="center"/>
    </xf>
    <xf numFmtId="165" fontId="0" fillId="11" borderId="12" xfId="0" applyNumberFormat="1" applyFill="1" applyBorder="1" applyAlignment="1">
      <alignment horizontal="center" vertical="center"/>
    </xf>
    <xf numFmtId="164" fontId="0" fillId="11" borderId="6" xfId="0" applyNumberFormat="1" applyFill="1" applyBorder="1" applyAlignment="1">
      <alignment horizontal="center" vertical="center"/>
    </xf>
    <xf numFmtId="165" fontId="0" fillId="11" borderId="13" xfId="0" applyNumberFormat="1" applyFill="1" applyBorder="1" applyAlignment="1">
      <alignment horizontal="center" vertical="center"/>
    </xf>
    <xf numFmtId="164" fontId="0" fillId="11" borderId="7" xfId="0" applyNumberFormat="1" applyFill="1" applyBorder="1" applyAlignment="1">
      <alignment horizontal="center" vertical="center"/>
    </xf>
    <xf numFmtId="165" fontId="0" fillId="11" borderId="14" xfId="0" applyNumberFormat="1" applyFill="1" applyBorder="1" applyAlignment="1">
      <alignment horizontal="center" vertical="center"/>
    </xf>
    <xf numFmtId="0" fontId="0" fillId="18" borderId="9" xfId="0" applyFill="1" applyBorder="1" applyAlignment="1">
      <alignment vertical="center"/>
    </xf>
    <xf numFmtId="49" fontId="0" fillId="6" borderId="17" xfId="0" applyNumberFormat="1" applyFill="1" applyBorder="1" applyAlignment="1" applyProtection="1">
      <alignment wrapText="1"/>
      <protection locked="0"/>
    </xf>
    <xf numFmtId="49" fontId="0" fillId="6" borderId="18" xfId="0" applyNumberFormat="1" applyFill="1" applyBorder="1" applyAlignment="1" applyProtection="1">
      <alignment wrapText="1"/>
      <protection locked="0"/>
    </xf>
    <xf numFmtId="49" fontId="0" fillId="6" borderId="69" xfId="0" applyNumberFormat="1" applyFill="1" applyBorder="1" applyAlignment="1" applyProtection="1">
      <alignment wrapText="1"/>
      <protection locked="0"/>
    </xf>
    <xf numFmtId="49" fontId="0" fillId="6" borderId="51" xfId="0" applyNumberFormat="1" applyFill="1" applyBorder="1" applyAlignment="1" applyProtection="1">
      <alignment wrapText="1"/>
      <protection locked="0"/>
    </xf>
    <xf numFmtId="49" fontId="0" fillId="6" borderId="52" xfId="0" applyNumberFormat="1" applyFill="1" applyBorder="1" applyAlignment="1" applyProtection="1">
      <alignment wrapText="1"/>
      <protection locked="0"/>
    </xf>
    <xf numFmtId="49" fontId="0" fillId="6" borderId="53" xfId="0" applyNumberFormat="1" applyFill="1" applyBorder="1" applyAlignment="1" applyProtection="1">
      <alignment wrapText="1"/>
      <protection locked="0"/>
    </xf>
    <xf numFmtId="0" fontId="0" fillId="8" borderId="26" xfId="2" applyFont="1" applyBorder="1" applyAlignment="1">
      <alignment horizontal="left" vertical="top" wrapText="1"/>
    </xf>
    <xf numFmtId="0" fontId="0" fillId="8" borderId="27" xfId="2" applyFont="1" applyBorder="1" applyAlignment="1">
      <alignment horizontal="left" vertical="top" wrapText="1"/>
    </xf>
    <xf numFmtId="0" fontId="0" fillId="8" borderId="28" xfId="2" applyFont="1" applyBorder="1" applyAlignment="1">
      <alignment horizontal="left" vertical="top" wrapText="1"/>
    </xf>
    <xf numFmtId="0" fontId="0" fillId="8" borderId="32" xfId="2" applyFont="1" applyBorder="1" applyAlignment="1">
      <alignment horizontal="left" vertical="top" wrapText="1"/>
    </xf>
    <xf numFmtId="0" fontId="0" fillId="8" borderId="25" xfId="2" applyFont="1" applyBorder="1" applyAlignment="1">
      <alignment horizontal="left" vertical="top" wrapText="1"/>
    </xf>
    <xf numFmtId="0" fontId="0" fillId="8" borderId="33" xfId="2" applyFont="1" applyBorder="1" applyAlignment="1">
      <alignment horizontal="left" vertical="top" wrapText="1"/>
    </xf>
    <xf numFmtId="0" fontId="0" fillId="8" borderId="39" xfId="2" applyFont="1" applyBorder="1" applyAlignment="1">
      <alignment horizontal="left" vertical="top" wrapText="1"/>
    </xf>
    <xf numFmtId="0" fontId="0" fillId="8" borderId="40" xfId="2" applyFont="1" applyBorder="1" applyAlignment="1">
      <alignment horizontal="left" vertical="top" wrapText="1"/>
    </xf>
    <xf numFmtId="0" fontId="0" fillId="8" borderId="41" xfId="2" applyFont="1" applyBorder="1" applyAlignment="1">
      <alignment horizontal="left" vertical="top" wrapText="1"/>
    </xf>
    <xf numFmtId="0" fontId="9" fillId="10" borderId="42" xfId="0" applyFont="1" applyFill="1" applyBorder="1" applyAlignment="1">
      <alignment horizontal="left" vertical="top" wrapText="1"/>
    </xf>
    <xf numFmtId="0" fontId="9" fillId="10" borderId="43" xfId="0" applyFont="1" applyFill="1" applyBorder="1" applyAlignment="1">
      <alignment horizontal="left" vertical="top" wrapText="1"/>
    </xf>
    <xf numFmtId="0" fontId="9" fillId="10" borderId="44" xfId="0" applyFont="1" applyFill="1" applyBorder="1" applyAlignment="1">
      <alignment horizontal="left" vertical="top" wrapText="1"/>
    </xf>
    <xf numFmtId="0" fontId="9" fillId="10" borderId="11" xfId="0" applyFont="1" applyFill="1" applyBorder="1" applyAlignment="1">
      <alignment horizontal="left" vertical="top" wrapText="1"/>
    </xf>
    <xf numFmtId="0" fontId="9" fillId="10" borderId="45" xfId="0" applyFont="1" applyFill="1" applyBorder="1" applyAlignment="1">
      <alignment horizontal="left" vertical="top" wrapText="1"/>
    </xf>
    <xf numFmtId="0" fontId="9" fillId="10" borderId="46" xfId="0" applyFont="1" applyFill="1" applyBorder="1" applyAlignment="1">
      <alignment horizontal="left" vertical="top" wrapText="1"/>
    </xf>
    <xf numFmtId="0" fontId="11" fillId="11" borderId="47" xfId="3" applyFont="1" applyFill="1" applyBorder="1" applyAlignment="1">
      <alignment horizontal="left" vertical="center"/>
    </xf>
    <xf numFmtId="0" fontId="11" fillId="11" borderId="48" xfId="3" applyFont="1" applyFill="1" applyBorder="1" applyAlignment="1">
      <alignment horizontal="left" vertical="center"/>
    </xf>
    <xf numFmtId="0" fontId="11" fillId="11" borderId="17" xfId="3" applyFont="1" applyFill="1" applyBorder="1" applyAlignment="1">
      <alignment horizontal="left" vertical="center"/>
    </xf>
    <xf numFmtId="0" fontId="11" fillId="11" borderId="49" xfId="3" applyFont="1" applyFill="1" applyBorder="1" applyAlignment="1">
      <alignment horizontal="left" vertical="center"/>
    </xf>
    <xf numFmtId="0" fontId="11" fillId="11" borderId="50" xfId="3" applyFont="1" applyFill="1" applyBorder="1" applyAlignment="1">
      <alignment horizontal="left" vertical="center"/>
    </xf>
    <xf numFmtId="0" fontId="11" fillId="11" borderId="19" xfId="3" applyFont="1" applyFill="1" applyBorder="1" applyAlignment="1">
      <alignment horizontal="left" vertical="center"/>
    </xf>
    <xf numFmtId="0" fontId="16" fillId="19" borderId="9" xfId="0" applyFont="1" applyFill="1" applyBorder="1" applyAlignment="1">
      <alignment horizontal="center"/>
    </xf>
    <xf numFmtId="0" fontId="16" fillId="19" borderId="70" xfId="0" applyFont="1" applyFill="1" applyBorder="1" applyAlignment="1">
      <alignment horizontal="center"/>
    </xf>
    <xf numFmtId="0" fontId="16" fillId="19" borderId="71" xfId="0" applyFont="1" applyFill="1" applyBorder="1" applyAlignment="1">
      <alignment horizontal="center"/>
    </xf>
    <xf numFmtId="0" fontId="7" fillId="3" borderId="15" xfId="0" applyFont="1" applyFill="1" applyBorder="1" applyAlignment="1" applyProtection="1">
      <alignment horizontal="center" vertical="center"/>
    </xf>
    <xf numFmtId="0" fontId="7" fillId="3" borderId="21" xfId="0" applyFont="1" applyFill="1" applyBorder="1" applyAlignment="1" applyProtection="1">
      <alignment horizontal="center" vertical="center"/>
    </xf>
    <xf numFmtId="0" fontId="7" fillId="3" borderId="16" xfId="0" applyFont="1" applyFill="1" applyBorder="1" applyAlignment="1" applyProtection="1">
      <alignment horizontal="center" vertical="center"/>
    </xf>
    <xf numFmtId="0" fontId="7" fillId="14" borderId="54" xfId="0" applyFont="1" applyFill="1" applyBorder="1" applyAlignment="1" applyProtection="1">
      <alignment horizontal="left" vertical="center" wrapText="1"/>
    </xf>
    <xf numFmtId="0" fontId="7" fillId="14" borderId="55" xfId="0" applyFont="1" applyFill="1" applyBorder="1" applyAlignment="1" applyProtection="1">
      <alignment horizontal="left" vertical="center" wrapText="1"/>
    </xf>
    <xf numFmtId="0" fontId="7" fillId="14" borderId="56" xfId="0" applyFont="1" applyFill="1" applyBorder="1" applyAlignment="1" applyProtection="1">
      <alignment horizontal="left" vertical="center" wrapText="1"/>
    </xf>
    <xf numFmtId="0" fontId="7" fillId="14" borderId="6" xfId="0" applyFont="1" applyFill="1" applyBorder="1" applyAlignment="1" applyProtection="1">
      <alignment horizontal="left" vertical="center" wrapText="1"/>
    </xf>
    <xf numFmtId="0" fontId="7" fillId="14" borderId="1" xfId="0" applyFont="1" applyFill="1" applyBorder="1" applyAlignment="1" applyProtection="1">
      <alignment horizontal="left" vertical="center" wrapText="1"/>
    </xf>
    <xf numFmtId="0" fontId="7" fillId="14" borderId="13" xfId="0" applyFont="1" applyFill="1" applyBorder="1" applyAlignment="1" applyProtection="1">
      <alignment horizontal="left" vertical="center" wrapText="1"/>
    </xf>
    <xf numFmtId="0" fontId="7" fillId="14" borderId="7" xfId="0" applyFont="1" applyFill="1" applyBorder="1" applyAlignment="1" applyProtection="1">
      <alignment horizontal="left" vertical="center" wrapText="1"/>
    </xf>
    <xf numFmtId="0" fontId="7" fillId="14" borderId="8" xfId="0" applyFont="1" applyFill="1" applyBorder="1" applyAlignment="1" applyProtection="1">
      <alignment horizontal="left" vertical="center" wrapText="1"/>
    </xf>
    <xf numFmtId="0" fontId="7" fillId="14" borderId="14" xfId="0" applyFont="1" applyFill="1" applyBorder="1" applyAlignment="1" applyProtection="1">
      <alignment horizontal="left" vertical="center" wrapText="1"/>
    </xf>
    <xf numFmtId="0" fontId="13" fillId="15" borderId="42" xfId="0" applyFont="1" applyFill="1" applyBorder="1" applyAlignment="1" applyProtection="1">
      <alignment horizontal="center" vertical="center"/>
    </xf>
    <xf numFmtId="0" fontId="13" fillId="15" borderId="43" xfId="0" applyFont="1" applyFill="1" applyBorder="1" applyAlignment="1" applyProtection="1">
      <alignment horizontal="center" vertical="center"/>
    </xf>
    <xf numFmtId="0" fontId="13" fillId="15" borderId="44" xfId="0" applyFont="1" applyFill="1" applyBorder="1" applyAlignment="1" applyProtection="1">
      <alignment horizontal="center" vertical="center"/>
    </xf>
    <xf numFmtId="49" fontId="0" fillId="15" borderId="57" xfId="0" applyNumberFormat="1" applyFill="1" applyBorder="1" applyAlignment="1" applyProtection="1">
      <alignment horizontal="left" vertical="top" wrapText="1"/>
      <protection locked="0"/>
    </xf>
    <xf numFmtId="49" fontId="0" fillId="15" borderId="0" xfId="0" applyNumberFormat="1" applyFill="1" applyBorder="1" applyAlignment="1" applyProtection="1">
      <alignment horizontal="left" vertical="top" wrapText="1"/>
      <protection locked="0"/>
    </xf>
    <xf numFmtId="49" fontId="0" fillId="15" borderId="58" xfId="0" applyNumberFormat="1" applyFill="1" applyBorder="1" applyAlignment="1" applyProtection="1">
      <alignment horizontal="left" vertical="top" wrapText="1"/>
      <protection locked="0"/>
    </xf>
    <xf numFmtId="49" fontId="0" fillId="15" borderId="11" xfId="0" applyNumberFormat="1" applyFill="1" applyBorder="1" applyAlignment="1" applyProtection="1">
      <alignment horizontal="left" vertical="top" wrapText="1"/>
      <protection locked="0"/>
    </xf>
    <xf numFmtId="49" fontId="0" fillId="15" borderId="45" xfId="0" applyNumberFormat="1" applyFill="1" applyBorder="1" applyAlignment="1" applyProtection="1">
      <alignment horizontal="left" vertical="top" wrapText="1"/>
      <protection locked="0"/>
    </xf>
    <xf numFmtId="49" fontId="0" fillId="15" borderId="46" xfId="0" applyNumberFormat="1" applyFill="1" applyBorder="1" applyAlignment="1" applyProtection="1">
      <alignment horizontal="left" vertical="top" wrapText="1"/>
      <protection locked="0"/>
    </xf>
  </cellXfs>
  <cellStyles count="4">
    <cellStyle name="Hyperlink" xfId="3" builtinId="8"/>
    <cellStyle name="Normal" xfId="0" builtinId="0"/>
    <cellStyle name="Note" xfId="2" builtinId="1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microsoft.com/office/2006/relationships/vbaProject" Target="vbaProject.bin"/><Relationship Id="rId5" Type="http://schemas.openxmlformats.org/officeDocument/2006/relationships/theme" Target="theme/theme1.xml"/><Relationship Id="rId10" Type="http://schemas.openxmlformats.org/officeDocument/2006/relationships/calcChain" Target="calcChain.xml"/><Relationship Id="rId4" Type="http://schemas.openxmlformats.org/officeDocument/2006/relationships/worksheet" Target="worksheets/sheet4.xml"/><Relationship Id="rId9" Type="http://schemas.microsoft.com/office/2017/10/relationships/person" Target="persons/perso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10</xdr:col>
      <xdr:colOff>47625</xdr:colOff>
      <xdr:row>1</xdr:row>
      <xdr:rowOff>19050</xdr:rowOff>
    </xdr:from>
    <xdr:to>
      <xdr:col>17</xdr:col>
      <xdr:colOff>391168</xdr:colOff>
      <xdr:row>2</xdr:row>
      <xdr:rowOff>152445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143625" y="209550"/>
          <a:ext cx="4610743" cy="323895"/>
        </a:xfrm>
        <a:prstGeom prst="rect">
          <a:avLst/>
        </a:prstGeom>
      </xdr:spPr>
    </xdr:pic>
    <xdr:clientData/>
  </xdr:twoCellAnchor>
  <xdr:oneCellAnchor>
    <xdr:from>
      <xdr:col>10</xdr:col>
      <xdr:colOff>47625</xdr:colOff>
      <xdr:row>8</xdr:row>
      <xdr:rowOff>57150</xdr:rowOff>
    </xdr:from>
    <xdr:ext cx="2629267" cy="3839111"/>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143625" y="1581150"/>
          <a:ext cx="2629267" cy="3839111"/>
        </a:xfrm>
        <a:prstGeom prst="rect">
          <a:avLst/>
        </a:prstGeom>
      </xdr:spPr>
    </xdr:pic>
    <xdr:clientData/>
  </xdr:oneCellAnchor>
  <xdr:oneCellAnchor>
    <xdr:from>
      <xdr:col>15</xdr:col>
      <xdr:colOff>57150</xdr:colOff>
      <xdr:row>8</xdr:row>
      <xdr:rowOff>47625</xdr:rowOff>
    </xdr:from>
    <xdr:ext cx="3438095" cy="1438095"/>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9201150" y="1571625"/>
          <a:ext cx="3438095" cy="1438095"/>
        </a:xfrm>
        <a:prstGeom prst="rect">
          <a:avLst/>
        </a:prstGeom>
      </xdr:spPr>
    </xdr:pic>
    <xdr:clientData/>
  </xdr:oneCellAnchor>
  <xdr:twoCellAnchor editAs="oneCell">
    <xdr:from>
      <xdr:col>10</xdr:col>
      <xdr:colOff>47625</xdr:colOff>
      <xdr:row>4</xdr:row>
      <xdr:rowOff>38100</xdr:rowOff>
    </xdr:from>
    <xdr:to>
      <xdr:col>20</xdr:col>
      <xdr:colOff>439055</xdr:colOff>
      <xdr:row>6</xdr:row>
      <xdr:rowOff>38153</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143625" y="800100"/>
          <a:ext cx="6487430" cy="38105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1400175</xdr:colOff>
          <xdr:row>28</xdr:row>
          <xdr:rowOff>76200</xdr:rowOff>
        </xdr:from>
        <xdr:to>
          <xdr:col>2</xdr:col>
          <xdr:colOff>104775</xdr:colOff>
          <xdr:row>29</xdr:row>
          <xdr:rowOff>161925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1400175</xdr:colOff>
          <xdr:row>26</xdr:row>
          <xdr:rowOff>9525</xdr:rowOff>
        </xdr:from>
        <xdr:to>
          <xdr:col>2</xdr:col>
          <xdr:colOff>104775</xdr:colOff>
          <xdr:row>27</xdr:row>
          <xdr:rowOff>95250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to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26</xdr:row>
          <xdr:rowOff>9525</xdr:rowOff>
        </xdr:from>
        <xdr:to>
          <xdr:col>0</xdr:col>
          <xdr:colOff>1162050</xdr:colOff>
          <xdr:row>27</xdr:row>
          <xdr:rowOff>47625</xdr:rowOff>
        </xdr:to>
        <xdr:sp macro="" textlink="">
          <xdr:nvSpPr>
            <xdr:cNvPr id="1029" name="Check Box 1"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Log First Break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28</xdr:row>
          <xdr:rowOff>133350</xdr:rowOff>
        </xdr:from>
        <xdr:to>
          <xdr:col>0</xdr:col>
          <xdr:colOff>1162050</xdr:colOff>
          <xdr:row>29</xdr:row>
          <xdr:rowOff>171450</xdr:rowOff>
        </xdr:to>
        <xdr:sp macro="" textlink="">
          <xdr:nvSpPr>
            <xdr:cNvPr id="1030" name="Check Box 3"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Log Lunch Break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27</xdr:row>
          <xdr:rowOff>76200</xdr:rowOff>
        </xdr:from>
        <xdr:to>
          <xdr:col>0</xdr:col>
          <xdr:colOff>1162050</xdr:colOff>
          <xdr:row>28</xdr:row>
          <xdr:rowOff>114300</xdr:rowOff>
        </xdr:to>
        <xdr:sp macro="" textlink="">
          <xdr:nvSpPr>
            <xdr:cNvPr id="1031" name="Check Box 2" hidden="1">
              <a:extLst>
                <a:ext uri="{63B3BB69-23CF-44E3-9099-C40C66FF867C}">
                  <a14:compatExt spid="_x0000_s1031"/>
                </a:ext>
                <a:ext uri="{FF2B5EF4-FFF2-40B4-BE49-F238E27FC236}">
                  <a16:creationId xmlns:a16="http://schemas.microsoft.com/office/drawing/2014/main" id="{00000000-0008-0000-0100-00000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Log Second Break</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95250</xdr:colOff>
          <xdr:row>3</xdr:row>
          <xdr:rowOff>76200</xdr:rowOff>
        </xdr:from>
        <xdr:to>
          <xdr:col>5</xdr:col>
          <xdr:colOff>933450</xdr:colOff>
          <xdr:row>5</xdr:row>
          <xdr:rowOff>104775</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3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Change Password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190500</xdr:colOff>
          <xdr:row>1</xdr:row>
          <xdr:rowOff>76200</xdr:rowOff>
        </xdr:from>
        <xdr:to>
          <xdr:col>14</xdr:col>
          <xdr:colOff>209550</xdr:colOff>
          <xdr:row>3</xdr:row>
          <xdr:rowOff>114300</xdr:rowOff>
        </xdr:to>
        <xdr:sp macro="" textlink="">
          <xdr:nvSpPr>
            <xdr:cNvPr id="4099" name="ExtDevMd" hidden="1">
              <a:extLst>
                <a:ext uri="{63B3BB69-23CF-44E3-9099-C40C66FF867C}">
                  <a14:compatExt spid="_x0000_s4099"/>
                </a:ext>
                <a:ext uri="{FF2B5EF4-FFF2-40B4-BE49-F238E27FC236}">
                  <a16:creationId xmlns:a16="http://schemas.microsoft.com/office/drawing/2014/main" id="{00000000-0008-0000-0300-000003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Exit DevMode</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Jeffreys, Duncan                            Collins" id="{0216F7C3-1935-44CD-A533-95E8149A4E0A}" userId="Jeffreys, Duncan                            Collins" providerId="Non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F25" dT="2021-03-23T19:08:06.74" personId="{0216F7C3-1935-44CD-A533-95E8149A4E0A}" id="{CC9C58FD-CAE9-407B-8805-926CC5E24A1C}">
    <text>Website:
https://github.com/JeffreysDA
Contact:
jeffreysda@gmail.com</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hyperlink" Target="mailto:jeffreysda@gmail.com" TargetMode="External"/><Relationship Id="rId1" Type="http://schemas.openxmlformats.org/officeDocument/2006/relationships/hyperlink" Target="https://github.com/JeffreysDA" TargetMode="Externa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10" Type="http://schemas.microsoft.com/office/2017/10/relationships/threadedComment" Target="../threadedComments/threadedComment1.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2.vml"/><Relationship Id="rId1" Type="http://schemas.openxmlformats.org/officeDocument/2006/relationships/drawing" Target="../drawings/drawing3.xml"/><Relationship Id="rId4"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0"/>
  <dimension ref="A1:U35"/>
  <sheetViews>
    <sheetView tabSelected="1" workbookViewId="0">
      <selection sqref="A1:I30"/>
    </sheetView>
  </sheetViews>
  <sheetFormatPr defaultRowHeight="15" x14ac:dyDescent="0.25"/>
  <cols>
    <col min="1" max="9" width="9.140625" style="46"/>
    <col min="10" max="16384" width="9.140625" style="36"/>
  </cols>
  <sheetData>
    <row r="1" spans="1:21" ht="15" customHeight="1" x14ac:dyDescent="0.25">
      <c r="A1" s="116" t="s">
        <v>16</v>
      </c>
      <c r="B1" s="117"/>
      <c r="C1" s="117"/>
      <c r="D1" s="117"/>
      <c r="E1" s="117"/>
      <c r="F1" s="117"/>
      <c r="G1" s="117"/>
      <c r="H1" s="117"/>
      <c r="I1" s="118"/>
      <c r="K1" s="37" t="s">
        <v>17</v>
      </c>
      <c r="L1" s="38"/>
      <c r="M1" s="38"/>
      <c r="N1" s="38"/>
      <c r="O1" s="38"/>
      <c r="P1" s="38"/>
      <c r="Q1" s="38"/>
      <c r="R1" s="39"/>
    </row>
    <row r="2" spans="1:21" x14ac:dyDescent="0.25">
      <c r="A2" s="119"/>
      <c r="B2" s="120"/>
      <c r="C2" s="120"/>
      <c r="D2" s="120"/>
      <c r="E2" s="120"/>
      <c r="F2" s="120"/>
      <c r="G2" s="120"/>
      <c r="H2" s="120"/>
      <c r="I2" s="121"/>
      <c r="K2" s="40"/>
      <c r="R2" s="41"/>
    </row>
    <row r="3" spans="1:21" x14ac:dyDescent="0.25">
      <c r="A3" s="119"/>
      <c r="B3" s="120"/>
      <c r="C3" s="120"/>
      <c r="D3" s="120"/>
      <c r="E3" s="120"/>
      <c r="F3" s="120"/>
      <c r="G3" s="120"/>
      <c r="H3" s="120"/>
      <c r="I3" s="121"/>
      <c r="K3" s="40"/>
      <c r="R3" s="41"/>
    </row>
    <row r="4" spans="1:21" x14ac:dyDescent="0.25">
      <c r="A4" s="119"/>
      <c r="B4" s="120"/>
      <c r="C4" s="120"/>
      <c r="D4" s="120"/>
      <c r="E4" s="120"/>
      <c r="F4" s="120"/>
      <c r="G4" s="120"/>
      <c r="H4" s="120"/>
      <c r="I4" s="121"/>
      <c r="K4" s="37" t="s">
        <v>18</v>
      </c>
      <c r="L4" s="38"/>
      <c r="M4" s="38"/>
      <c r="N4" s="38"/>
      <c r="O4" s="38"/>
      <c r="P4" s="42"/>
      <c r="Q4" s="38"/>
      <c r="R4" s="38"/>
      <c r="S4" s="38"/>
      <c r="T4" s="38"/>
      <c r="U4" s="39"/>
    </row>
    <row r="5" spans="1:21" x14ac:dyDescent="0.25">
      <c r="A5" s="119"/>
      <c r="B5" s="120"/>
      <c r="C5" s="120"/>
      <c r="D5" s="120"/>
      <c r="E5" s="120"/>
      <c r="F5" s="120"/>
      <c r="G5" s="120"/>
      <c r="H5" s="120"/>
      <c r="I5" s="121"/>
      <c r="K5" s="40"/>
      <c r="U5" s="41"/>
    </row>
    <row r="6" spans="1:21" x14ac:dyDescent="0.25">
      <c r="A6" s="119"/>
      <c r="B6" s="120"/>
      <c r="C6" s="120"/>
      <c r="D6" s="120"/>
      <c r="E6" s="120"/>
      <c r="F6" s="120"/>
      <c r="G6" s="120"/>
      <c r="H6" s="120"/>
      <c r="I6" s="121"/>
      <c r="K6" s="40"/>
      <c r="U6" s="41"/>
    </row>
    <row r="7" spans="1:21" x14ac:dyDescent="0.25">
      <c r="A7" s="119"/>
      <c r="B7" s="120"/>
      <c r="C7" s="120"/>
      <c r="D7" s="120"/>
      <c r="E7" s="120"/>
      <c r="F7" s="120"/>
      <c r="G7" s="120"/>
      <c r="H7" s="120"/>
      <c r="I7" s="121"/>
      <c r="K7" s="43"/>
      <c r="L7" s="44"/>
      <c r="M7" s="44"/>
      <c r="N7" s="44"/>
      <c r="O7" s="44"/>
      <c r="P7" s="44"/>
      <c r="Q7" s="44"/>
      <c r="R7" s="44"/>
      <c r="S7" s="44"/>
      <c r="T7" s="44"/>
      <c r="U7" s="45"/>
    </row>
    <row r="8" spans="1:21" x14ac:dyDescent="0.25">
      <c r="A8" s="119"/>
      <c r="B8" s="120"/>
      <c r="C8" s="120"/>
      <c r="D8" s="120"/>
      <c r="E8" s="120"/>
      <c r="F8" s="120"/>
      <c r="G8" s="120"/>
      <c r="H8" s="120"/>
      <c r="I8" s="121"/>
      <c r="K8" s="37" t="s">
        <v>19</v>
      </c>
      <c r="L8" s="38"/>
      <c r="M8" s="38"/>
      <c r="N8" s="38"/>
      <c r="O8" s="39"/>
      <c r="P8" s="37" t="s">
        <v>20</v>
      </c>
      <c r="Q8" s="38"/>
      <c r="R8" s="38"/>
      <c r="S8" s="38"/>
      <c r="T8" s="38"/>
      <c r="U8" s="39"/>
    </row>
    <row r="9" spans="1:21" x14ac:dyDescent="0.25">
      <c r="A9" s="119"/>
      <c r="B9" s="120"/>
      <c r="C9" s="120"/>
      <c r="D9" s="120"/>
      <c r="E9" s="120"/>
      <c r="F9" s="120"/>
      <c r="G9" s="120"/>
      <c r="H9" s="120"/>
      <c r="I9" s="121"/>
      <c r="K9" s="40"/>
      <c r="O9" s="41"/>
      <c r="P9" s="40"/>
      <c r="U9" s="41"/>
    </row>
    <row r="10" spans="1:21" x14ac:dyDescent="0.25">
      <c r="A10" s="119"/>
      <c r="B10" s="120"/>
      <c r="C10" s="120"/>
      <c r="D10" s="120"/>
      <c r="E10" s="120"/>
      <c r="F10" s="120"/>
      <c r="G10" s="120"/>
      <c r="H10" s="120"/>
      <c r="I10" s="121"/>
      <c r="K10" s="40"/>
      <c r="O10" s="41"/>
      <c r="P10" s="40"/>
      <c r="U10" s="41"/>
    </row>
    <row r="11" spans="1:21" x14ac:dyDescent="0.25">
      <c r="A11" s="119"/>
      <c r="B11" s="120"/>
      <c r="C11" s="120"/>
      <c r="D11" s="120"/>
      <c r="E11" s="120"/>
      <c r="F11" s="120"/>
      <c r="G11" s="120"/>
      <c r="H11" s="120"/>
      <c r="I11" s="121"/>
      <c r="K11" s="40"/>
      <c r="O11" s="41"/>
      <c r="P11" s="40"/>
      <c r="U11" s="41"/>
    </row>
    <row r="12" spans="1:21" x14ac:dyDescent="0.25">
      <c r="A12" s="119"/>
      <c r="B12" s="120"/>
      <c r="C12" s="120"/>
      <c r="D12" s="120"/>
      <c r="E12" s="120"/>
      <c r="F12" s="120"/>
      <c r="G12" s="120"/>
      <c r="H12" s="120"/>
      <c r="I12" s="121"/>
      <c r="K12" s="40"/>
      <c r="O12" s="41"/>
      <c r="P12" s="40"/>
      <c r="U12" s="41"/>
    </row>
    <row r="13" spans="1:21" x14ac:dyDescent="0.25">
      <c r="A13" s="119"/>
      <c r="B13" s="120"/>
      <c r="C13" s="120"/>
      <c r="D13" s="120"/>
      <c r="E13" s="120"/>
      <c r="F13" s="120"/>
      <c r="G13" s="120"/>
      <c r="H13" s="120"/>
      <c r="I13" s="121"/>
      <c r="K13" s="40"/>
      <c r="O13" s="41"/>
      <c r="P13" s="40"/>
      <c r="U13" s="41"/>
    </row>
    <row r="14" spans="1:21" x14ac:dyDescent="0.25">
      <c r="A14" s="119"/>
      <c r="B14" s="120"/>
      <c r="C14" s="120"/>
      <c r="D14" s="120"/>
      <c r="E14" s="120"/>
      <c r="F14" s="120"/>
      <c r="G14" s="120"/>
      <c r="H14" s="120"/>
      <c r="I14" s="121"/>
      <c r="K14" s="40"/>
      <c r="O14" s="41"/>
      <c r="P14" s="40"/>
      <c r="U14" s="41"/>
    </row>
    <row r="15" spans="1:21" x14ac:dyDescent="0.25">
      <c r="A15" s="119"/>
      <c r="B15" s="120"/>
      <c r="C15" s="120"/>
      <c r="D15" s="120"/>
      <c r="E15" s="120"/>
      <c r="F15" s="120"/>
      <c r="G15" s="120"/>
      <c r="H15" s="120"/>
      <c r="I15" s="121"/>
      <c r="K15" s="40"/>
      <c r="O15" s="41"/>
      <c r="P15" s="40"/>
      <c r="U15" s="41"/>
    </row>
    <row r="16" spans="1:21" x14ac:dyDescent="0.25">
      <c r="A16" s="119"/>
      <c r="B16" s="120"/>
      <c r="C16" s="120"/>
      <c r="D16" s="120"/>
      <c r="E16" s="120"/>
      <c r="F16" s="120"/>
      <c r="G16" s="120"/>
      <c r="H16" s="120"/>
      <c r="I16" s="121"/>
      <c r="K16" s="40"/>
      <c r="O16" s="41"/>
      <c r="P16" s="40"/>
      <c r="U16" s="41"/>
    </row>
    <row r="17" spans="1:21" x14ac:dyDescent="0.25">
      <c r="A17" s="119"/>
      <c r="B17" s="120"/>
      <c r="C17" s="120"/>
      <c r="D17" s="120"/>
      <c r="E17" s="120"/>
      <c r="F17" s="120"/>
      <c r="G17" s="120"/>
      <c r="H17" s="120"/>
      <c r="I17" s="121"/>
      <c r="K17" s="40"/>
      <c r="O17" s="41"/>
      <c r="P17" s="43"/>
      <c r="Q17" s="44"/>
      <c r="R17" s="44"/>
      <c r="S17" s="44"/>
      <c r="T17" s="44"/>
      <c r="U17" s="45"/>
    </row>
    <row r="18" spans="1:21" x14ac:dyDescent="0.25">
      <c r="A18" s="119"/>
      <c r="B18" s="120"/>
      <c r="C18" s="120"/>
      <c r="D18" s="120"/>
      <c r="E18" s="120"/>
      <c r="F18" s="120"/>
      <c r="G18" s="120"/>
      <c r="H18" s="120"/>
      <c r="I18" s="121"/>
      <c r="K18" s="40"/>
      <c r="O18" s="41"/>
    </row>
    <row r="19" spans="1:21" x14ac:dyDescent="0.25">
      <c r="A19" s="119"/>
      <c r="B19" s="120"/>
      <c r="C19" s="120"/>
      <c r="D19" s="120"/>
      <c r="E19" s="120"/>
      <c r="F19" s="120"/>
      <c r="G19" s="120"/>
      <c r="H19" s="120"/>
      <c r="I19" s="121"/>
      <c r="K19" s="40"/>
      <c r="O19" s="41"/>
    </row>
    <row r="20" spans="1:21" x14ac:dyDescent="0.25">
      <c r="A20" s="119"/>
      <c r="B20" s="120"/>
      <c r="C20" s="120"/>
      <c r="D20" s="120"/>
      <c r="E20" s="120"/>
      <c r="F20" s="120"/>
      <c r="G20" s="120"/>
      <c r="H20" s="120"/>
      <c r="I20" s="121"/>
      <c r="K20" s="40"/>
      <c r="O20" s="41"/>
    </row>
    <row r="21" spans="1:21" x14ac:dyDescent="0.25">
      <c r="A21" s="119"/>
      <c r="B21" s="120"/>
      <c r="C21" s="120"/>
      <c r="D21" s="120"/>
      <c r="E21" s="120"/>
      <c r="F21" s="120"/>
      <c r="G21" s="120"/>
      <c r="H21" s="120"/>
      <c r="I21" s="121"/>
      <c r="K21" s="40"/>
      <c r="O21" s="41"/>
    </row>
    <row r="22" spans="1:21" x14ac:dyDescent="0.25">
      <c r="A22" s="119"/>
      <c r="B22" s="120"/>
      <c r="C22" s="120"/>
      <c r="D22" s="120"/>
      <c r="E22" s="120"/>
      <c r="F22" s="120"/>
      <c r="G22" s="120"/>
      <c r="H22" s="120"/>
      <c r="I22" s="121"/>
      <c r="K22" s="40"/>
      <c r="O22" s="41"/>
    </row>
    <row r="23" spans="1:21" x14ac:dyDescent="0.25">
      <c r="A23" s="119"/>
      <c r="B23" s="120"/>
      <c r="C23" s="120"/>
      <c r="D23" s="120"/>
      <c r="E23" s="120"/>
      <c r="F23" s="120"/>
      <c r="G23" s="120"/>
      <c r="H23" s="120"/>
      <c r="I23" s="121"/>
      <c r="K23" s="40"/>
      <c r="O23" s="41"/>
    </row>
    <row r="24" spans="1:21" x14ac:dyDescent="0.25">
      <c r="A24" s="119"/>
      <c r="B24" s="120"/>
      <c r="C24" s="120"/>
      <c r="D24" s="120"/>
      <c r="E24" s="120"/>
      <c r="F24" s="120"/>
      <c r="G24" s="120"/>
      <c r="H24" s="120"/>
      <c r="I24" s="121"/>
      <c r="K24" s="40"/>
      <c r="O24" s="41"/>
    </row>
    <row r="25" spans="1:21" x14ac:dyDescent="0.25">
      <c r="A25" s="119"/>
      <c r="B25" s="120"/>
      <c r="C25" s="120"/>
      <c r="D25" s="120"/>
      <c r="E25" s="120"/>
      <c r="F25" s="120"/>
      <c r="G25" s="120"/>
      <c r="H25" s="120"/>
      <c r="I25" s="121"/>
      <c r="K25" s="40"/>
      <c r="O25" s="41"/>
    </row>
    <row r="26" spans="1:21" x14ac:dyDescent="0.25">
      <c r="A26" s="119"/>
      <c r="B26" s="120"/>
      <c r="C26" s="120"/>
      <c r="D26" s="120"/>
      <c r="E26" s="120"/>
      <c r="F26" s="120"/>
      <c r="G26" s="120"/>
      <c r="H26" s="120"/>
      <c r="I26" s="121"/>
      <c r="K26" s="40"/>
      <c r="O26" s="41"/>
    </row>
    <row r="27" spans="1:21" x14ac:dyDescent="0.25">
      <c r="A27" s="119"/>
      <c r="B27" s="120"/>
      <c r="C27" s="120"/>
      <c r="D27" s="120"/>
      <c r="E27" s="120"/>
      <c r="F27" s="120"/>
      <c r="G27" s="120"/>
      <c r="H27" s="120"/>
      <c r="I27" s="121"/>
      <c r="K27" s="40"/>
      <c r="O27" s="41"/>
    </row>
    <row r="28" spans="1:21" x14ac:dyDescent="0.25">
      <c r="A28" s="119"/>
      <c r="B28" s="120"/>
      <c r="C28" s="120"/>
      <c r="D28" s="120"/>
      <c r="E28" s="120"/>
      <c r="F28" s="120"/>
      <c r="G28" s="120"/>
      <c r="H28" s="120"/>
      <c r="I28" s="121"/>
      <c r="K28" s="40"/>
      <c r="O28" s="41"/>
    </row>
    <row r="29" spans="1:21" x14ac:dyDescent="0.25">
      <c r="A29" s="119"/>
      <c r="B29" s="120"/>
      <c r="C29" s="120"/>
      <c r="D29" s="120"/>
      <c r="E29" s="120"/>
      <c r="F29" s="120"/>
      <c r="G29" s="120"/>
      <c r="H29" s="120"/>
      <c r="I29" s="121"/>
      <c r="K29" s="43"/>
      <c r="L29" s="44"/>
      <c r="M29" s="44"/>
      <c r="N29" s="44"/>
      <c r="O29" s="45"/>
    </row>
    <row r="30" spans="1:21" ht="15.75" thickBot="1" x14ac:dyDescent="0.3">
      <c r="A30" s="122"/>
      <c r="B30" s="123"/>
      <c r="C30" s="123"/>
      <c r="D30" s="123"/>
      <c r="E30" s="123"/>
      <c r="F30" s="123"/>
      <c r="G30" s="123"/>
      <c r="H30" s="123"/>
      <c r="I30" s="124"/>
    </row>
    <row r="31" spans="1:21" ht="15.75" thickBot="1" x14ac:dyDescent="0.3"/>
    <row r="32" spans="1:21" x14ac:dyDescent="0.25">
      <c r="C32" s="125" t="s">
        <v>21</v>
      </c>
      <c r="D32" s="126"/>
      <c r="E32" s="126"/>
      <c r="F32" s="127"/>
    </row>
    <row r="33" spans="3:6" ht="15.75" thickBot="1" x14ac:dyDescent="0.3">
      <c r="C33" s="128"/>
      <c r="D33" s="129"/>
      <c r="E33" s="129"/>
      <c r="F33" s="130"/>
    </row>
    <row r="34" spans="3:6" ht="15.75" thickBot="1" x14ac:dyDescent="0.3">
      <c r="C34" s="47" t="s">
        <v>22</v>
      </c>
      <c r="D34" s="131" t="s">
        <v>23</v>
      </c>
      <c r="E34" s="132"/>
      <c r="F34" s="133"/>
    </row>
    <row r="35" spans="3:6" ht="15.75" thickBot="1" x14ac:dyDescent="0.3">
      <c r="C35" s="47" t="s">
        <v>24</v>
      </c>
      <c r="D35" s="134" t="s">
        <v>25</v>
      </c>
      <c r="E35" s="135"/>
      <c r="F35" s="136"/>
    </row>
  </sheetData>
  <sheetProtection sheet="1" objects="1" scenarios="1" sort="0" autoFilter="0"/>
  <mergeCells count="4">
    <mergeCell ref="A1:I30"/>
    <mergeCell ref="C32:F33"/>
    <mergeCell ref="D34:F34"/>
    <mergeCell ref="D35:F35"/>
  </mergeCells>
  <hyperlinks>
    <hyperlink ref="D34" r:id="rId1" xr:uid="{00000000-0004-0000-0000-000000000000}"/>
    <hyperlink ref="D35" r:id="rId2" xr:uid="{00000000-0004-0000-0000-000001000000}"/>
  </hyperlinks>
  <pageMargins left="0.7" right="0.7" top="0.75" bottom="0.75" header="0.3" footer="0.3"/>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F55"/>
  <sheetViews>
    <sheetView workbookViewId="0">
      <selection activeCell="A5" sqref="A5"/>
    </sheetView>
  </sheetViews>
  <sheetFormatPr defaultRowHeight="15" x14ac:dyDescent="0.25"/>
  <cols>
    <col min="1" max="1" width="23.7109375" style="20" bestFit="1" customWidth="1"/>
    <col min="2" max="5" width="10.7109375" style="20" customWidth="1"/>
    <col min="6" max="6" width="105.7109375" style="20" customWidth="1"/>
    <col min="7" max="16384" width="9.140625" style="20"/>
  </cols>
  <sheetData>
    <row r="1" spans="1:6" ht="15.75" thickBot="1" x14ac:dyDescent="0.3">
      <c r="A1" s="14" t="s">
        <v>5</v>
      </c>
      <c r="B1" s="14" t="s">
        <v>6</v>
      </c>
      <c r="C1" s="14" t="s">
        <v>7</v>
      </c>
      <c r="D1" s="14" t="s">
        <v>45</v>
      </c>
      <c r="E1" s="15" t="s">
        <v>8</v>
      </c>
      <c r="F1" s="14" t="s">
        <v>46</v>
      </c>
    </row>
    <row r="2" spans="1:6" ht="15.75" hidden="1" thickBot="1" x14ac:dyDescent="0.3">
      <c r="A2" s="19" t="s">
        <v>1</v>
      </c>
      <c r="B2" s="21"/>
      <c r="C2" s="22"/>
      <c r="D2" s="28" t="str">
        <f>IF(OR(Hidden!A2="",Hidden!B2=""), "", Hidden!B2-Hidden!A2)</f>
        <v/>
      </c>
      <c r="E2" s="29" t="str">
        <f t="shared" ref="E2:E20" si="0">IF(D2="", "", D2*24)</f>
        <v/>
      </c>
      <c r="F2" s="110"/>
    </row>
    <row r="3" spans="1:6" ht="15.75" hidden="1" thickBot="1" x14ac:dyDescent="0.3">
      <c r="A3" s="16" t="s">
        <v>3</v>
      </c>
      <c r="B3" s="23"/>
      <c r="C3" s="24"/>
      <c r="D3" s="30" t="str">
        <f>IF(OR(Hidden!A3="",Hidden!B3=""), "", Hidden!B3-Hidden!A3)</f>
        <v/>
      </c>
      <c r="E3" s="31" t="str">
        <f t="shared" si="0"/>
        <v/>
      </c>
      <c r="F3" s="111"/>
    </row>
    <row r="4" spans="1:6" ht="15.75" hidden="1" thickBot="1" x14ac:dyDescent="0.3">
      <c r="A4" s="16" t="s">
        <v>2</v>
      </c>
      <c r="B4" s="93"/>
      <c r="C4" s="94"/>
      <c r="D4" s="95" t="str">
        <f>IF(OR(Hidden!A4="",Hidden!B4=""), "", Hidden!B4-Hidden!A4)</f>
        <v/>
      </c>
      <c r="E4" s="96" t="str">
        <f t="shared" si="0"/>
        <v/>
      </c>
      <c r="F4" s="112"/>
    </row>
    <row r="5" spans="1:6" ht="15.75" thickBot="1" x14ac:dyDescent="0.3">
      <c r="A5" s="17"/>
      <c r="B5" s="21"/>
      <c r="C5" s="22"/>
      <c r="D5" s="58" t="str">
        <f>IF(OR(Hidden!A5="",Hidden!B5=""), "", Hidden!B5-Hidden!A5)</f>
        <v/>
      </c>
      <c r="E5" s="59" t="str">
        <f t="shared" si="0"/>
        <v/>
      </c>
      <c r="F5" s="113"/>
    </row>
    <row r="6" spans="1:6" ht="15.75" thickBot="1" x14ac:dyDescent="0.3">
      <c r="A6" s="17"/>
      <c r="B6" s="23"/>
      <c r="C6" s="24"/>
      <c r="D6" s="34" t="str">
        <f>IF(OR(Hidden!A6="",Hidden!B6=""), "", Hidden!B6-Hidden!A6)</f>
        <v/>
      </c>
      <c r="E6" s="35" t="str">
        <f t="shared" si="0"/>
        <v/>
      </c>
      <c r="F6" s="114"/>
    </row>
    <row r="7" spans="1:6" ht="15.75" thickBot="1" x14ac:dyDescent="0.3">
      <c r="A7" s="17"/>
      <c r="B7" s="23"/>
      <c r="C7" s="24"/>
      <c r="D7" s="34" t="str">
        <f>IF(OR(Hidden!A7="",Hidden!B7=""), "", Hidden!B7-Hidden!A7)</f>
        <v/>
      </c>
      <c r="E7" s="35" t="str">
        <f t="shared" si="0"/>
        <v/>
      </c>
      <c r="F7" s="114"/>
    </row>
    <row r="8" spans="1:6" ht="15.75" thickBot="1" x14ac:dyDescent="0.3">
      <c r="A8" s="17"/>
      <c r="B8" s="23"/>
      <c r="C8" s="24"/>
      <c r="D8" s="34" t="str">
        <f>IF(OR(Hidden!A8="",Hidden!B8=""), "", Hidden!B8-Hidden!A8)</f>
        <v/>
      </c>
      <c r="E8" s="35" t="str">
        <f t="shared" si="0"/>
        <v/>
      </c>
      <c r="F8" s="114"/>
    </row>
    <row r="9" spans="1:6" ht="15.75" thickBot="1" x14ac:dyDescent="0.3">
      <c r="A9" s="17"/>
      <c r="B9" s="23"/>
      <c r="C9" s="24"/>
      <c r="D9" s="34" t="str">
        <f>IF(OR(Hidden!A9="",Hidden!B9=""), "", Hidden!B9-Hidden!A9)</f>
        <v/>
      </c>
      <c r="E9" s="35" t="str">
        <f t="shared" si="0"/>
        <v/>
      </c>
      <c r="F9" s="114"/>
    </row>
    <row r="10" spans="1:6" ht="15.75" thickBot="1" x14ac:dyDescent="0.3">
      <c r="A10" s="18"/>
      <c r="B10" s="23"/>
      <c r="C10" s="24"/>
      <c r="D10" s="34" t="str">
        <f>IF(OR(Hidden!A10="",Hidden!B10=""), "", Hidden!B10-Hidden!A10)</f>
        <v/>
      </c>
      <c r="E10" s="35"/>
      <c r="F10" s="114"/>
    </row>
    <row r="11" spans="1:6" ht="15.75" thickBot="1" x14ac:dyDescent="0.3">
      <c r="A11" s="18"/>
      <c r="B11" s="23"/>
      <c r="C11" s="24"/>
      <c r="D11" s="34" t="str">
        <f>IF(OR(Hidden!A11="",Hidden!B11=""), "", Hidden!B11-Hidden!A11)</f>
        <v/>
      </c>
      <c r="E11" s="35" t="str">
        <f t="shared" si="0"/>
        <v/>
      </c>
      <c r="F11" s="114"/>
    </row>
    <row r="12" spans="1:6" ht="15.75" thickBot="1" x14ac:dyDescent="0.3">
      <c r="A12" s="18"/>
      <c r="B12" s="23"/>
      <c r="C12" s="24"/>
      <c r="D12" s="34" t="str">
        <f>IF(OR(Hidden!A12="",Hidden!B12=""), "", Hidden!B12-Hidden!A12)</f>
        <v/>
      </c>
      <c r="E12" s="35" t="str">
        <f t="shared" si="0"/>
        <v/>
      </c>
      <c r="F12" s="114"/>
    </row>
    <row r="13" spans="1:6" ht="15.75" thickBot="1" x14ac:dyDescent="0.3">
      <c r="A13" s="18"/>
      <c r="B13" s="23"/>
      <c r="C13" s="24"/>
      <c r="D13" s="34" t="str">
        <f>IF(OR(Hidden!A13="",Hidden!B13=""), "", Hidden!B13-Hidden!A13)</f>
        <v/>
      </c>
      <c r="E13" s="35" t="str">
        <f t="shared" si="0"/>
        <v/>
      </c>
      <c r="F13" s="114"/>
    </row>
    <row r="14" spans="1:6" ht="15.75" thickBot="1" x14ac:dyDescent="0.3">
      <c r="A14" s="18"/>
      <c r="B14" s="23"/>
      <c r="C14" s="24"/>
      <c r="D14" s="34" t="str">
        <f>IF(OR(Hidden!A14="",Hidden!B14=""), "", Hidden!B14-Hidden!A14)</f>
        <v/>
      </c>
      <c r="E14" s="35" t="str">
        <f t="shared" si="0"/>
        <v/>
      </c>
      <c r="F14" s="114"/>
    </row>
    <row r="15" spans="1:6" ht="15.75" thickBot="1" x14ac:dyDescent="0.3">
      <c r="A15" s="18"/>
      <c r="B15" s="23"/>
      <c r="C15" s="24"/>
      <c r="D15" s="34" t="str">
        <f>IF(OR(Hidden!A15="",Hidden!B15=""), "", Hidden!B15-Hidden!A15)</f>
        <v/>
      </c>
      <c r="E15" s="35" t="str">
        <f t="shared" si="0"/>
        <v/>
      </c>
      <c r="F15" s="114"/>
    </row>
    <row r="16" spans="1:6" ht="15.75" thickBot="1" x14ac:dyDescent="0.3">
      <c r="A16" s="18"/>
      <c r="B16" s="23"/>
      <c r="C16" s="24"/>
      <c r="D16" s="34" t="str">
        <f>IF(OR(Hidden!A16="",Hidden!B16=""), "", Hidden!B16-Hidden!A16)</f>
        <v/>
      </c>
      <c r="E16" s="35" t="str">
        <f t="shared" si="0"/>
        <v/>
      </c>
      <c r="F16" s="114"/>
    </row>
    <row r="17" spans="1:6" ht="15.75" thickBot="1" x14ac:dyDescent="0.3">
      <c r="A17" s="18"/>
      <c r="B17" s="23"/>
      <c r="C17" s="24"/>
      <c r="D17" s="34" t="str">
        <f>IF(OR(Hidden!A17="",Hidden!B17=""), "", Hidden!B17-Hidden!A17)</f>
        <v/>
      </c>
      <c r="E17" s="35" t="str">
        <f t="shared" si="0"/>
        <v/>
      </c>
      <c r="F17" s="114"/>
    </row>
    <row r="18" spans="1:6" ht="15.75" thickBot="1" x14ac:dyDescent="0.3">
      <c r="A18" s="18"/>
      <c r="B18" s="23"/>
      <c r="C18" s="24"/>
      <c r="D18" s="34" t="str">
        <f>IF(OR(Hidden!A18="",Hidden!B18=""), "", Hidden!B18-Hidden!A18)</f>
        <v/>
      </c>
      <c r="E18" s="35" t="str">
        <f t="shared" si="0"/>
        <v/>
      </c>
      <c r="F18" s="114"/>
    </row>
    <row r="19" spans="1:6" ht="15.75" thickBot="1" x14ac:dyDescent="0.3">
      <c r="A19" s="18"/>
      <c r="B19" s="23"/>
      <c r="C19" s="24"/>
      <c r="D19" s="34" t="str">
        <f>IF(OR(Hidden!A19="",Hidden!B19=""), "", Hidden!B19-Hidden!A19)</f>
        <v/>
      </c>
      <c r="E19" s="35" t="str">
        <f t="shared" si="0"/>
        <v/>
      </c>
      <c r="F19" s="114"/>
    </row>
    <row r="20" spans="1:6" ht="15.75" thickBot="1" x14ac:dyDescent="0.3">
      <c r="A20" s="18"/>
      <c r="B20" s="23"/>
      <c r="C20" s="24"/>
      <c r="D20" s="34" t="str">
        <f>IF(OR(Hidden!A20="",Hidden!B20=""), "", Hidden!B20-Hidden!A20)</f>
        <v/>
      </c>
      <c r="E20" s="35" t="str">
        <f t="shared" si="0"/>
        <v/>
      </c>
      <c r="F20" s="114"/>
    </row>
    <row r="21" spans="1:6" ht="15.75" thickBot="1" x14ac:dyDescent="0.3">
      <c r="A21" s="18"/>
      <c r="B21" s="23"/>
      <c r="C21" s="24"/>
      <c r="D21" s="34" t="str">
        <f>IF(OR(Hidden!A21="",Hidden!B21=""), "", Hidden!B21-Hidden!A21)</f>
        <v/>
      </c>
      <c r="E21" s="35" t="str">
        <f t="shared" ref="E21:E24" si="1">IF(D21="", "", D21*24)</f>
        <v/>
      </c>
      <c r="F21" s="114"/>
    </row>
    <row r="22" spans="1:6" ht="15.75" thickBot="1" x14ac:dyDescent="0.3">
      <c r="A22" s="18"/>
      <c r="B22" s="23"/>
      <c r="C22" s="24"/>
      <c r="D22" s="34" t="str">
        <f>IF(OR(Hidden!A22="",Hidden!B22=""), "", Hidden!B22-Hidden!A22)</f>
        <v/>
      </c>
      <c r="E22" s="35" t="str">
        <f t="shared" si="1"/>
        <v/>
      </c>
      <c r="F22" s="114"/>
    </row>
    <row r="23" spans="1:6" ht="15.75" thickBot="1" x14ac:dyDescent="0.3">
      <c r="A23" s="18"/>
      <c r="B23" s="23"/>
      <c r="C23" s="24"/>
      <c r="D23" s="34" t="str">
        <f>IF(OR(Hidden!A23="",Hidden!B23=""), "", Hidden!B23-Hidden!A23)</f>
        <v/>
      </c>
      <c r="E23" s="35" t="str">
        <f t="shared" si="1"/>
        <v/>
      </c>
      <c r="F23" s="114"/>
    </row>
    <row r="24" spans="1:6" ht="15.75" thickBot="1" x14ac:dyDescent="0.3">
      <c r="A24" s="18"/>
      <c r="B24" s="25"/>
      <c r="C24" s="26"/>
      <c r="D24" s="32" t="str">
        <f>IF(OR(Hidden!A24="",Hidden!B24=""), "", Hidden!B24-Hidden!A24)</f>
        <v/>
      </c>
      <c r="E24" s="33" t="str">
        <f t="shared" si="1"/>
        <v/>
      </c>
      <c r="F24" s="115"/>
    </row>
    <row r="25" spans="1:6" ht="15.75" thickBot="1" x14ac:dyDescent="0.3">
      <c r="A25" s="27" t="s">
        <v>0</v>
      </c>
      <c r="B25" s="97" t="str">
        <f>IF(TEXT(MIN(_xlfn.UNIQUE(Hidden!F2:'Hidden'!F20)),"0000")="0000","",TEXT(MIN(_xlfn.UNIQUE(Hidden!F2:'Hidden'!F20)),"0000"))</f>
        <v/>
      </c>
      <c r="C25" s="98" t="str">
        <f>IF(TEXT(MAX(_xlfn.UNIQUE(Hidden!G2:'Hidden'!G20)),"0000")="0000","",TEXT(MAX(_xlfn.UNIQUE(Hidden!G2:'Hidden'!G20)),"0000"))</f>
        <v/>
      </c>
      <c r="D25" s="99" t="str">
        <f>IF(OR(Hidden!A25="",Hidden!B25=""), "", Hidden!B25-Hidden!A25)</f>
        <v/>
      </c>
      <c r="E25" s="100" t="str">
        <f>IF(D25="", "", D25*24)</f>
        <v/>
      </c>
      <c r="F25" s="101" t="s">
        <v>43</v>
      </c>
    </row>
    <row r="34" spans="1:3" ht="15.75" thickBot="1" x14ac:dyDescent="0.3"/>
    <row r="35" spans="1:3" ht="15.75" thickBot="1" x14ac:dyDescent="0.3">
      <c r="A35" s="137" t="s">
        <v>44</v>
      </c>
      <c r="B35" s="138"/>
      <c r="C35" s="139"/>
    </row>
    <row r="36" spans="1:3" ht="15.75" thickBot="1" x14ac:dyDescent="0.3">
      <c r="A36" s="102" t="s">
        <v>5</v>
      </c>
      <c r="B36" s="102" t="s">
        <v>45</v>
      </c>
      <c r="C36" s="102" t="s">
        <v>8</v>
      </c>
    </row>
    <row r="37" spans="1:3" ht="15.75" thickBot="1" x14ac:dyDescent="0.3">
      <c r="A37" s="109" t="str" cm="1">
        <f t="array" ref="A37">IFERROR(_xlfn.UNIQUE(_xlfn._xlws.FILTER(A5:A24,A5:A24&lt;&gt;"")),"")</f>
        <v/>
      </c>
      <c r="B37" s="103" t="str">
        <f>IF(A37="","",SUMIF($A$5:$A$24,A37,$D$5:$D$24))</f>
        <v/>
      </c>
      <c r="C37" s="104" t="str">
        <f>IF(B37="", "", B37*24)</f>
        <v/>
      </c>
    </row>
    <row r="38" spans="1:3" ht="15.75" thickBot="1" x14ac:dyDescent="0.3">
      <c r="A38" s="109"/>
      <c r="B38" s="105" t="str">
        <f t="shared" ref="B38:B55" si="2">IF(A38="","",SUMIF($A$5:$A$24,A38,$D$5:$D$24))</f>
        <v/>
      </c>
      <c r="C38" s="106" t="str">
        <f t="shared" ref="C38:C55" si="3">IF(B38="", "", B38*24)</f>
        <v/>
      </c>
    </row>
    <row r="39" spans="1:3" ht="15.75" thickBot="1" x14ac:dyDescent="0.3">
      <c r="A39" s="109"/>
      <c r="B39" s="105" t="str">
        <f t="shared" si="2"/>
        <v/>
      </c>
      <c r="C39" s="106" t="str">
        <f t="shared" si="3"/>
        <v/>
      </c>
    </row>
    <row r="40" spans="1:3" ht="15.75" thickBot="1" x14ac:dyDescent="0.3">
      <c r="A40" s="109"/>
      <c r="B40" s="105" t="str">
        <f t="shared" si="2"/>
        <v/>
      </c>
      <c r="C40" s="106" t="str">
        <f t="shared" si="3"/>
        <v/>
      </c>
    </row>
    <row r="41" spans="1:3" ht="15.75" thickBot="1" x14ac:dyDescent="0.3">
      <c r="A41" s="109"/>
      <c r="B41" s="105" t="str">
        <f t="shared" si="2"/>
        <v/>
      </c>
      <c r="C41" s="106" t="str">
        <f t="shared" si="3"/>
        <v/>
      </c>
    </row>
    <row r="42" spans="1:3" ht="15.75" thickBot="1" x14ac:dyDescent="0.3">
      <c r="A42" s="109"/>
      <c r="B42" s="105" t="str">
        <f t="shared" si="2"/>
        <v/>
      </c>
      <c r="C42" s="106" t="str">
        <f t="shared" si="3"/>
        <v/>
      </c>
    </row>
    <row r="43" spans="1:3" ht="15.75" thickBot="1" x14ac:dyDescent="0.3">
      <c r="A43" s="109"/>
      <c r="B43" s="105" t="str">
        <f t="shared" si="2"/>
        <v/>
      </c>
      <c r="C43" s="106" t="str">
        <f t="shared" si="3"/>
        <v/>
      </c>
    </row>
    <row r="44" spans="1:3" ht="15.75" thickBot="1" x14ac:dyDescent="0.3">
      <c r="A44" s="109"/>
      <c r="B44" s="105" t="str">
        <f t="shared" si="2"/>
        <v/>
      </c>
      <c r="C44" s="106" t="str">
        <f t="shared" si="3"/>
        <v/>
      </c>
    </row>
    <row r="45" spans="1:3" ht="15.75" thickBot="1" x14ac:dyDescent="0.3">
      <c r="A45" s="109"/>
      <c r="B45" s="105" t="str">
        <f t="shared" si="2"/>
        <v/>
      </c>
      <c r="C45" s="106" t="str">
        <f t="shared" si="3"/>
        <v/>
      </c>
    </row>
    <row r="46" spans="1:3" ht="15.75" thickBot="1" x14ac:dyDescent="0.3">
      <c r="A46" s="109"/>
      <c r="B46" s="105" t="str">
        <f t="shared" si="2"/>
        <v/>
      </c>
      <c r="C46" s="106" t="str">
        <f t="shared" si="3"/>
        <v/>
      </c>
    </row>
    <row r="47" spans="1:3" ht="15.75" thickBot="1" x14ac:dyDescent="0.3">
      <c r="A47" s="109"/>
      <c r="B47" s="105" t="str">
        <f t="shared" si="2"/>
        <v/>
      </c>
      <c r="C47" s="106" t="str">
        <f t="shared" si="3"/>
        <v/>
      </c>
    </row>
    <row r="48" spans="1:3" ht="15.75" thickBot="1" x14ac:dyDescent="0.3">
      <c r="A48" s="109"/>
      <c r="B48" s="105" t="str">
        <f t="shared" si="2"/>
        <v/>
      </c>
      <c r="C48" s="106" t="str">
        <f t="shared" si="3"/>
        <v/>
      </c>
    </row>
    <row r="49" spans="1:3" ht="15.75" thickBot="1" x14ac:dyDescent="0.3">
      <c r="A49" s="109"/>
      <c r="B49" s="105" t="str">
        <f t="shared" si="2"/>
        <v/>
      </c>
      <c r="C49" s="106" t="str">
        <f t="shared" si="3"/>
        <v/>
      </c>
    </row>
    <row r="50" spans="1:3" ht="15.75" thickBot="1" x14ac:dyDescent="0.3">
      <c r="A50" s="109"/>
      <c r="B50" s="105" t="str">
        <f t="shared" si="2"/>
        <v/>
      </c>
      <c r="C50" s="106" t="str">
        <f t="shared" si="3"/>
        <v/>
      </c>
    </row>
    <row r="51" spans="1:3" ht="15.75" thickBot="1" x14ac:dyDescent="0.3">
      <c r="A51" s="109"/>
      <c r="B51" s="105" t="str">
        <f t="shared" si="2"/>
        <v/>
      </c>
      <c r="C51" s="106" t="str">
        <f t="shared" si="3"/>
        <v/>
      </c>
    </row>
    <row r="52" spans="1:3" ht="15.75" thickBot="1" x14ac:dyDescent="0.3">
      <c r="A52" s="109"/>
      <c r="B52" s="105" t="str">
        <f t="shared" si="2"/>
        <v/>
      </c>
      <c r="C52" s="106" t="str">
        <f t="shared" si="3"/>
        <v/>
      </c>
    </row>
    <row r="53" spans="1:3" ht="15.75" thickBot="1" x14ac:dyDescent="0.3">
      <c r="A53" s="109"/>
      <c r="B53" s="105" t="str">
        <f t="shared" si="2"/>
        <v/>
      </c>
      <c r="C53" s="106" t="str">
        <f t="shared" si="3"/>
        <v/>
      </c>
    </row>
    <row r="54" spans="1:3" ht="15.75" thickBot="1" x14ac:dyDescent="0.3">
      <c r="A54" s="109"/>
      <c r="B54" s="105" t="str">
        <f t="shared" si="2"/>
        <v/>
      </c>
      <c r="C54" s="106" t="str">
        <f t="shared" si="3"/>
        <v/>
      </c>
    </row>
    <row r="55" spans="1:3" ht="15.75" thickBot="1" x14ac:dyDescent="0.3">
      <c r="A55" s="109"/>
      <c r="B55" s="107" t="str">
        <f t="shared" si="2"/>
        <v/>
      </c>
      <c r="C55" s="108" t="str">
        <f t="shared" si="3"/>
        <v/>
      </c>
    </row>
  </sheetData>
  <sheetProtection sheet="1" objects="1" scenarios="1" selectLockedCells="1" sort="0" autoFilter="0"/>
  <mergeCells count="1">
    <mergeCell ref="A35:C35"/>
  </mergeCells>
  <dataValidations count="1">
    <dataValidation type="list" allowBlank="1" showInputMessage="1" sqref="A5:A24" xr:uid="{00000000-0002-0000-0100-000000000000}">
      <formula1>LogType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Reset">
                <anchor moveWithCells="1" sizeWithCells="1">
                  <from>
                    <xdr:col>0</xdr:col>
                    <xdr:colOff>1400175</xdr:colOff>
                    <xdr:row>28</xdr:row>
                    <xdr:rowOff>76200</xdr:rowOff>
                  </from>
                  <to>
                    <xdr:col>2</xdr:col>
                    <xdr:colOff>104775</xdr:colOff>
                    <xdr:row>29</xdr:row>
                    <xdr:rowOff>161925</xdr:rowOff>
                  </to>
                </anchor>
              </controlPr>
            </control>
          </mc:Choice>
        </mc:AlternateContent>
        <mc:AlternateContent xmlns:mc="http://schemas.openxmlformats.org/markup-compatibility/2006">
          <mc:Choice Requires="x14">
            <control shapeId="1028" r:id="rId5" name="Button 4">
              <controlPr defaultSize="0" print="0" autoFill="0" autoPict="0" macro="[0]!Export">
                <anchor moveWithCells="1" sizeWithCells="1">
                  <from>
                    <xdr:col>0</xdr:col>
                    <xdr:colOff>1400175</xdr:colOff>
                    <xdr:row>26</xdr:row>
                    <xdr:rowOff>9525</xdr:rowOff>
                  </from>
                  <to>
                    <xdr:col>2</xdr:col>
                    <xdr:colOff>104775</xdr:colOff>
                    <xdr:row>27</xdr:row>
                    <xdr:rowOff>95250</xdr:rowOff>
                  </to>
                </anchor>
              </controlPr>
            </control>
          </mc:Choice>
        </mc:AlternateContent>
        <mc:AlternateContent xmlns:mc="http://schemas.openxmlformats.org/markup-compatibility/2006">
          <mc:Choice Requires="x14">
            <control shapeId="1029" r:id="rId6" name="Check Box 1">
              <controlPr defaultSize="0" autoFill="0" autoLine="0" autoPict="0" macro="[0]!Break1">
                <anchor moveWithCells="1">
                  <from>
                    <xdr:col>0</xdr:col>
                    <xdr:colOff>19050</xdr:colOff>
                    <xdr:row>26</xdr:row>
                    <xdr:rowOff>9525</xdr:rowOff>
                  </from>
                  <to>
                    <xdr:col>0</xdr:col>
                    <xdr:colOff>1162050</xdr:colOff>
                    <xdr:row>27</xdr:row>
                    <xdr:rowOff>47625</xdr:rowOff>
                  </to>
                </anchor>
              </controlPr>
            </control>
          </mc:Choice>
        </mc:AlternateContent>
        <mc:AlternateContent xmlns:mc="http://schemas.openxmlformats.org/markup-compatibility/2006">
          <mc:Choice Requires="x14">
            <control shapeId="1030" r:id="rId7" name="Check Box 3">
              <controlPr defaultSize="0" autoFill="0" autoLine="0" autoPict="0" macro="[0]!LunchBreak">
                <anchor moveWithCells="1">
                  <from>
                    <xdr:col>0</xdr:col>
                    <xdr:colOff>19050</xdr:colOff>
                    <xdr:row>28</xdr:row>
                    <xdr:rowOff>133350</xdr:rowOff>
                  </from>
                  <to>
                    <xdr:col>0</xdr:col>
                    <xdr:colOff>1162050</xdr:colOff>
                    <xdr:row>29</xdr:row>
                    <xdr:rowOff>171450</xdr:rowOff>
                  </to>
                </anchor>
              </controlPr>
            </control>
          </mc:Choice>
        </mc:AlternateContent>
        <mc:AlternateContent xmlns:mc="http://schemas.openxmlformats.org/markup-compatibility/2006">
          <mc:Choice Requires="x14">
            <control shapeId="1031" r:id="rId8" name="Check Box 2">
              <controlPr defaultSize="0" autoFill="0" autoLine="0" autoPict="0" macro="[0]!Break2">
                <anchor moveWithCells="1">
                  <from>
                    <xdr:col>0</xdr:col>
                    <xdr:colOff>19050</xdr:colOff>
                    <xdr:row>27</xdr:row>
                    <xdr:rowOff>76200</xdr:rowOff>
                  </from>
                  <to>
                    <xdr:col>0</xdr:col>
                    <xdr:colOff>1162050</xdr:colOff>
                    <xdr:row>28</xdr:row>
                    <xdr:rowOff>114300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G25"/>
  <sheetViews>
    <sheetView workbookViewId="0">
      <selection activeCell="A2" sqref="A2"/>
    </sheetView>
  </sheetViews>
  <sheetFormatPr defaultRowHeight="15" x14ac:dyDescent="0.25"/>
  <cols>
    <col min="1" max="2" width="10.7109375" style="2" customWidth="1"/>
    <col min="3" max="5" width="50.7109375" style="2" customWidth="1"/>
    <col min="6" max="6" width="12.140625" style="2" bestFit="1" customWidth="1"/>
    <col min="7" max="7" width="11.28515625" style="2" bestFit="1" customWidth="1"/>
    <col min="8" max="16384" width="9.140625" style="2"/>
  </cols>
  <sheetData>
    <row r="1" spans="1:7" ht="15.75" thickBot="1" x14ac:dyDescent="0.3">
      <c r="A1" s="9" t="s">
        <v>9</v>
      </c>
      <c r="B1" s="50" t="s">
        <v>10</v>
      </c>
      <c r="C1" s="1" t="s">
        <v>11</v>
      </c>
      <c r="D1" s="51" t="s">
        <v>12</v>
      </c>
      <c r="E1" s="9" t="s">
        <v>13</v>
      </c>
      <c r="F1" s="9" t="s">
        <v>14</v>
      </c>
      <c r="G1" s="9" t="s">
        <v>15</v>
      </c>
    </row>
    <row r="2" spans="1:7" x14ac:dyDescent="0.25">
      <c r="A2" s="10" t="str">
        <f>IF(TEXT(Logs!B2,"0000")="0000","",TIMEVALUE(REPLACE(TEXT(Logs!B2,"0000"),3,0,":")))</f>
        <v/>
      </c>
      <c r="B2" s="48" t="str">
        <f>IF(TEXT(Logs!C2,"0000")="0000","",TIMEVALUE(REPLACE(TEXT(Logs!C2,"0000"),3,0,":")))</f>
        <v/>
      </c>
      <c r="C2" s="55" t="str">
        <f>IF(OR(Logs!A2="",Logs!D2=""),"","From "&amp;TEXT(Logs!B2,"0000")&amp;" to "&amp;TEXT(Logs!C2, "0000")&amp;" - "&amp;Logs!A2&amp; " ("&amp;TEXT(Logs!E2,"0.00")&amp;" Hours)")</f>
        <v/>
      </c>
      <c r="D2" s="52"/>
      <c r="E2" s="13"/>
      <c r="F2" s="4" t="str">
        <f>IF(VALUE(Logs!B2)=0,"",VALUE(Logs!B2))</f>
        <v/>
      </c>
      <c r="G2" s="5" t="str">
        <f>IF(VALUE(Logs!C2)=0,"",VALUE(Logs!C2))</f>
        <v/>
      </c>
    </row>
    <row r="3" spans="1:7" x14ac:dyDescent="0.25">
      <c r="A3" s="11" t="str">
        <f>IF(TEXT(Logs!B3,"0000")="0000","",TIMEVALUE(REPLACE(TEXT(Logs!B3,"0000"),3,0,":")))</f>
        <v/>
      </c>
      <c r="B3" s="49" t="str">
        <f>IF(TEXT(Logs!C3,"0000")="0000","",TIMEVALUE(REPLACE(TEXT(Logs!C3,"0000"),3,0,":")))</f>
        <v/>
      </c>
      <c r="C3" s="56" t="str">
        <f>IF(OR(Logs!A3="",Logs!D3=""),"","From "&amp;TEXT(Logs!B3,"0000")&amp;" to "&amp;TEXT(Logs!C3, "0000")&amp;" - "&amp;Logs!A3&amp; " ("&amp;TEXT(Logs!E3,"0.00")&amp;" Hours)")</f>
        <v/>
      </c>
      <c r="D3" s="53"/>
      <c r="E3" s="3"/>
      <c r="F3" s="6" t="str">
        <f>IF(VALUE(Logs!B3)=0,"",VALUE(Logs!B3))</f>
        <v/>
      </c>
      <c r="G3" s="7" t="str">
        <f>IF(VALUE(Logs!C3)=0,"",VALUE(Logs!C3))</f>
        <v/>
      </c>
    </row>
    <row r="4" spans="1:7" ht="15.75" thickBot="1" x14ac:dyDescent="0.3">
      <c r="A4" s="87" t="str">
        <f>IF(TEXT(Logs!B4,"0000")="0000","",TIMEVALUE(REPLACE(TEXT(Logs!B4,"0000"),3,0,":")))</f>
        <v/>
      </c>
      <c r="B4" s="88" t="str">
        <f>IF(TEXT(Logs!C4,"0000")="0000","",TIMEVALUE(REPLACE(TEXT(Logs!C4,"0000"),3,0,":")))</f>
        <v/>
      </c>
      <c r="C4" s="86" t="str">
        <f>IF(OR(Logs!A4="",Logs!D4=""),"","From "&amp;TEXT(Logs!B4,"0000")&amp;" to "&amp;TEXT(Logs!C4, "0000")&amp;" - "&amp;Logs!A4&amp; " ("&amp;TEXT(Logs!E4,"0.00")&amp;" Hours)")</f>
        <v/>
      </c>
      <c r="D4" s="78"/>
      <c r="E4" s="79"/>
      <c r="F4" s="73" t="str">
        <f>IF(VALUE(Logs!B4)=0,"",VALUE(Logs!B4))</f>
        <v/>
      </c>
      <c r="G4" s="74" t="str">
        <f>IF(VALUE(Logs!C4)=0,"",VALUE(Logs!C4))</f>
        <v/>
      </c>
    </row>
    <row r="5" spans="1:7" x14ac:dyDescent="0.25">
      <c r="A5" s="10" t="str">
        <f>IF(TEXT(Logs!B5,"0000")="0000","",TIMEVALUE(REPLACE(TEXT(Logs!B5,"0000"),3,0,":")))</f>
        <v/>
      </c>
      <c r="B5" s="90" t="str">
        <f>IF(TEXT(Logs!C5,"0000")="0000","",TIMEVALUE(REPLACE(TEXT(Logs!C5,"0000"),3,0,":")))</f>
        <v/>
      </c>
      <c r="C5" s="55" t="str">
        <f>IF(OR(Logs!A5="",Logs!D5=""),"","From "&amp;TEXT(Logs!B5,"0000")&amp;" to "&amp;TEXT(Logs!C5, "0000")&amp;" - "&amp;Logs!A5&amp; " ("&amp;TEXT(Logs!E5,"0.00")&amp;" Hours)")</f>
        <v/>
      </c>
      <c r="D5" s="52"/>
      <c r="E5" s="82"/>
      <c r="F5" s="75" t="str">
        <f>IF(VALUE(Logs!B5)=0,"",VALUE(Logs!B5))</f>
        <v/>
      </c>
      <c r="G5" s="5" t="str">
        <f>IF(VALUE(Logs!C5)=0,"",VALUE(Logs!C5))</f>
        <v/>
      </c>
    </row>
    <row r="6" spans="1:7" x14ac:dyDescent="0.25">
      <c r="A6" s="11" t="str">
        <f>IF(TEXT(Logs!B6,"0000")="0000","",TIMEVALUE(REPLACE(TEXT(Logs!B6,"0000"),3,0,":")))</f>
        <v/>
      </c>
      <c r="B6" s="91" t="str">
        <f>IF(TEXT(Logs!C6,"0000")="0000","",TIMEVALUE(REPLACE(TEXT(Logs!C6,"0000"),3,0,":")))</f>
        <v/>
      </c>
      <c r="C6" s="56" t="str">
        <f>IF(OR(Logs!A6="",Logs!D6=""),"","From "&amp;TEXT(Logs!B6,"0000")&amp;" to "&amp;TEXT(Logs!C6, "0000")&amp;" - "&amp;Logs!A6&amp; " ("&amp;TEXT(Logs!E6,"0.00")&amp;" Hours)")</f>
        <v/>
      </c>
      <c r="D6" s="53"/>
      <c r="E6" s="83"/>
      <c r="F6" s="76" t="str">
        <f>IF(VALUE(Logs!B6)=0,"",VALUE(Logs!B6))</f>
        <v/>
      </c>
      <c r="G6" s="7" t="str">
        <f>IF(VALUE(Logs!C6)=0,"",VALUE(Logs!C6))</f>
        <v/>
      </c>
    </row>
    <row r="7" spans="1:7" x14ac:dyDescent="0.25">
      <c r="A7" s="11" t="str">
        <f>IF(TEXT(Logs!B7,"0000")="0000","",TIMEVALUE(REPLACE(TEXT(Logs!B7,"0000"),3,0,":")))</f>
        <v/>
      </c>
      <c r="B7" s="91" t="str">
        <f>IF(TEXT(Logs!C7,"0000")="0000","",TIMEVALUE(REPLACE(TEXT(Logs!C7,"0000"),3,0,":")))</f>
        <v/>
      </c>
      <c r="C7" s="56" t="str">
        <f>IF(OR(Logs!A7="",Logs!D7=""),"","From "&amp;TEXT(Logs!B7,"0000")&amp;" to "&amp;TEXT(Logs!C7, "0000")&amp;" - "&amp;Logs!A7&amp; " ("&amp;TEXT(Logs!E7,"0.00")&amp;" Hours)")</f>
        <v/>
      </c>
      <c r="D7" s="53"/>
      <c r="E7" s="83"/>
      <c r="F7" s="76" t="str">
        <f>IF(VALUE(Logs!B7)=0,"",VALUE(Logs!B7))</f>
        <v/>
      </c>
      <c r="G7" s="7" t="str">
        <f>IF(VALUE(Logs!C7)=0,"",VALUE(Logs!C7))</f>
        <v/>
      </c>
    </row>
    <row r="8" spans="1:7" x14ac:dyDescent="0.25">
      <c r="A8" s="11" t="str">
        <f>IF(TEXT(Logs!B8,"0000")="0000","",TIMEVALUE(REPLACE(TEXT(Logs!B8,"0000"),3,0,":")))</f>
        <v/>
      </c>
      <c r="B8" s="91" t="str">
        <f>IF(TEXT(Logs!C8,"0000")="0000","",TIMEVALUE(REPLACE(TEXT(Logs!C8,"0000"),3,0,":")))</f>
        <v/>
      </c>
      <c r="C8" s="56" t="str">
        <f>IF(OR(Logs!A8="",Logs!D8=""),"","From "&amp;TEXT(Logs!B8,"0000")&amp;" to "&amp;TEXT(Logs!C8, "0000")&amp;" - "&amp;Logs!A8&amp; " ("&amp;TEXT(Logs!E8,"0.00")&amp;" Hours)")</f>
        <v/>
      </c>
      <c r="D8" s="53"/>
      <c r="E8" s="84"/>
      <c r="F8" s="76" t="str">
        <f>IF(VALUE(Logs!B8)=0,"",VALUE(Logs!B8))</f>
        <v/>
      </c>
      <c r="G8" s="7" t="str">
        <f>IF(VALUE(Logs!C8)=0,"",VALUE(Logs!C8))</f>
        <v/>
      </c>
    </row>
    <row r="9" spans="1:7" x14ac:dyDescent="0.25">
      <c r="A9" s="11" t="str">
        <f>IF(TEXT(Logs!B9,"0000")="0000","",TIMEVALUE(REPLACE(TEXT(Logs!B9,"0000"),3,0,":")))</f>
        <v/>
      </c>
      <c r="B9" s="91" t="str">
        <f>IF(TEXT(Logs!C9,"0000")="0000","",TIMEVALUE(REPLACE(TEXT(Logs!C9,"0000"),3,0,":")))</f>
        <v/>
      </c>
      <c r="C9" s="56" t="str">
        <f>IF(OR(Logs!A9="",Logs!D9=""),"","From "&amp;TEXT(Logs!B9,"0000")&amp;" to "&amp;TEXT(Logs!C9, "0000")&amp;" - "&amp;Logs!A9&amp; " ("&amp;TEXT(Logs!E9,"0.00")&amp;" Hours)")</f>
        <v/>
      </c>
      <c r="D9" s="53"/>
      <c r="E9" s="83"/>
      <c r="F9" s="76" t="str">
        <f>IF(VALUE(Logs!B9)=0,"",VALUE(Logs!B9))</f>
        <v/>
      </c>
      <c r="G9" s="7" t="str">
        <f>IF(VALUE(Logs!C9)=0,"",VALUE(Logs!C9))</f>
        <v/>
      </c>
    </row>
    <row r="10" spans="1:7" x14ac:dyDescent="0.25">
      <c r="A10" s="11" t="str">
        <f>IF(TEXT(Logs!B10,"0000")="0000","",TIMEVALUE(REPLACE(TEXT(Logs!B10,"0000"),3,0,":")))</f>
        <v/>
      </c>
      <c r="B10" s="91" t="str">
        <f>IF(TEXT(Logs!C10,"0000")="0000","",TIMEVALUE(REPLACE(TEXT(Logs!C10,"0000"),3,0,":")))</f>
        <v/>
      </c>
      <c r="C10" s="56" t="str">
        <f>IF(OR(Logs!A10="",Logs!D10=""),"","From "&amp;TEXT(Logs!B10,"0000")&amp;" to "&amp;TEXT(Logs!C10, "0000")&amp;" - "&amp;Logs!A10&amp; " ("&amp;TEXT(Logs!E10,"0.00")&amp;" Hours)")</f>
        <v/>
      </c>
      <c r="D10" s="53"/>
      <c r="E10" s="83"/>
      <c r="F10" s="76" t="str">
        <f>IF(VALUE(Logs!B10)=0,"",VALUE(Logs!B10))</f>
        <v/>
      </c>
      <c r="G10" s="7" t="str">
        <f>IF(VALUE(Logs!C10)=0,"",VALUE(Logs!C10))</f>
        <v/>
      </c>
    </row>
    <row r="11" spans="1:7" x14ac:dyDescent="0.25">
      <c r="A11" s="11" t="str">
        <f>IF(TEXT(Logs!B11,"0000")="0000","",TIMEVALUE(REPLACE(TEXT(Logs!B11,"0000"),3,0,":")))</f>
        <v/>
      </c>
      <c r="B11" s="91" t="str">
        <f>IF(TEXT(Logs!C11,"0000")="0000","",TIMEVALUE(REPLACE(TEXT(Logs!C11,"0000"),3,0,":")))</f>
        <v/>
      </c>
      <c r="C11" s="56" t="str">
        <f>IF(OR(Logs!A11="",Logs!D11=""),"","From "&amp;TEXT(Logs!B11,"0000")&amp;" to "&amp;TEXT(Logs!C11, "0000")&amp;" - "&amp;Logs!A11&amp; " ("&amp;TEXT(Logs!E11,"0.00")&amp;" Hours)")</f>
        <v/>
      </c>
      <c r="D11" s="53"/>
      <c r="E11" s="83"/>
      <c r="F11" s="76" t="str">
        <f>IF(VALUE(Logs!B11)=0,"",VALUE(Logs!B11))</f>
        <v/>
      </c>
      <c r="G11" s="7" t="str">
        <f>IF(VALUE(Logs!C11)=0,"",VALUE(Logs!C11))</f>
        <v/>
      </c>
    </row>
    <row r="12" spans="1:7" x14ac:dyDescent="0.25">
      <c r="A12" s="11" t="str">
        <f>IF(TEXT(Logs!B12,"0000")="0000","",TIMEVALUE(REPLACE(TEXT(Logs!B12,"0000"),3,0,":")))</f>
        <v/>
      </c>
      <c r="B12" s="91" t="str">
        <f>IF(TEXT(Logs!C12,"0000")="0000","",TIMEVALUE(REPLACE(TEXT(Logs!C12,"0000"),3,0,":")))</f>
        <v/>
      </c>
      <c r="C12" s="56" t="str">
        <f>IF(OR(Logs!A12="",Logs!D12=""),"","From "&amp;TEXT(Logs!B12,"0000")&amp;" to "&amp;TEXT(Logs!C12, "0000")&amp;" - "&amp;Logs!A12&amp; " ("&amp;TEXT(Logs!E12,"0.00")&amp;" Hours)")</f>
        <v/>
      </c>
      <c r="D12" s="53"/>
      <c r="E12" s="83"/>
      <c r="F12" s="76" t="str">
        <f>IF(VALUE(Logs!B12)=0,"",VALUE(Logs!B12))</f>
        <v/>
      </c>
      <c r="G12" s="7" t="str">
        <f>IF(VALUE(Logs!C12)=0,"",VALUE(Logs!C12))</f>
        <v/>
      </c>
    </row>
    <row r="13" spans="1:7" x14ac:dyDescent="0.25">
      <c r="A13" s="11" t="str">
        <f>IF(TEXT(Logs!B13,"0000")="0000","",TIMEVALUE(REPLACE(TEXT(Logs!B13,"0000"),3,0,":")))</f>
        <v/>
      </c>
      <c r="B13" s="91" t="str">
        <f>IF(TEXT(Logs!C13,"0000")="0000","",TIMEVALUE(REPLACE(TEXT(Logs!C13,"0000"),3,0,":")))</f>
        <v/>
      </c>
      <c r="C13" s="56" t="str">
        <f>IF(OR(Logs!A13="",Logs!D13=""),"","From "&amp;TEXT(Logs!B13,"0000")&amp;" to "&amp;TEXT(Logs!C13, "0000")&amp;" - "&amp;Logs!A13&amp; " ("&amp;TEXT(Logs!E13,"0.00")&amp;" Hours)")</f>
        <v/>
      </c>
      <c r="D13" s="53"/>
      <c r="E13" s="83"/>
      <c r="F13" s="76" t="str">
        <f>IF(VALUE(Logs!B13)=0,"",VALUE(Logs!B13))</f>
        <v/>
      </c>
      <c r="G13" s="7" t="str">
        <f>IF(VALUE(Logs!C13)=0,"",VALUE(Logs!C13))</f>
        <v/>
      </c>
    </row>
    <row r="14" spans="1:7" x14ac:dyDescent="0.25">
      <c r="A14" s="11" t="str">
        <f>IF(TEXT(Logs!B14,"0000")="0000","",TIMEVALUE(REPLACE(TEXT(Logs!B14,"0000"),3,0,":")))</f>
        <v/>
      </c>
      <c r="B14" s="91" t="str">
        <f>IF(TEXT(Logs!C14,"0000")="0000","",TIMEVALUE(REPLACE(TEXT(Logs!C14,"0000"),3,0,":")))</f>
        <v/>
      </c>
      <c r="C14" s="56" t="str">
        <f>IF(OR(Logs!A14="",Logs!D14=""),"","From "&amp;TEXT(Logs!B14,"0000")&amp;" to "&amp;TEXT(Logs!C14, "0000")&amp;" - "&amp;Logs!A14&amp; " ("&amp;TEXT(Logs!E14,"0.00")&amp;" Hours)")</f>
        <v/>
      </c>
      <c r="D14" s="53"/>
      <c r="E14" s="83"/>
      <c r="F14" s="76" t="str">
        <f>IF(VALUE(Logs!B14)=0,"",VALUE(Logs!B14))</f>
        <v/>
      </c>
      <c r="G14" s="7" t="str">
        <f>IF(VALUE(Logs!C14)=0,"",VALUE(Logs!C14))</f>
        <v/>
      </c>
    </row>
    <row r="15" spans="1:7" x14ac:dyDescent="0.25">
      <c r="A15" s="11" t="str">
        <f>IF(TEXT(Logs!B15,"0000")="0000","",TIMEVALUE(REPLACE(TEXT(Logs!B15,"0000"),3,0,":")))</f>
        <v/>
      </c>
      <c r="B15" s="91" t="str">
        <f>IF(TEXT(Logs!C15,"0000")="0000","",TIMEVALUE(REPLACE(TEXT(Logs!C15,"0000"),3,0,":")))</f>
        <v/>
      </c>
      <c r="C15" s="56" t="str">
        <f>IF(OR(Logs!A15="",Logs!D15=""),"","From "&amp;TEXT(Logs!B15,"0000")&amp;" to "&amp;TEXT(Logs!C15, "0000")&amp;" - "&amp;Logs!A15&amp; " ("&amp;TEXT(Logs!E15,"0.00")&amp;" Hours)")</f>
        <v/>
      </c>
      <c r="D15" s="53"/>
      <c r="E15" s="83"/>
      <c r="F15" s="76" t="str">
        <f>IF(VALUE(Logs!B15)=0,"",VALUE(Logs!B15))</f>
        <v/>
      </c>
      <c r="G15" s="7" t="str">
        <f>IF(VALUE(Logs!C15)=0,"",VALUE(Logs!C15))</f>
        <v/>
      </c>
    </row>
    <row r="16" spans="1:7" x14ac:dyDescent="0.25">
      <c r="A16" s="11" t="str">
        <f>IF(TEXT(Logs!B16,"0000")="0000","",TIMEVALUE(REPLACE(TEXT(Logs!B16,"0000"),3,0,":")))</f>
        <v/>
      </c>
      <c r="B16" s="91" t="str">
        <f>IF(TEXT(Logs!C16,"0000")="0000","",TIMEVALUE(REPLACE(TEXT(Logs!C16,"0000"),3,0,":")))</f>
        <v/>
      </c>
      <c r="C16" s="56" t="str">
        <f>IF(OR(Logs!A16="",Logs!D16=""),"","From "&amp;TEXT(Logs!B16,"0000")&amp;" to "&amp;TEXT(Logs!C16, "0000")&amp;" - "&amp;Logs!A16&amp; " ("&amp;TEXT(Logs!E16,"0.00")&amp;" Hours)")</f>
        <v/>
      </c>
      <c r="D16" s="53"/>
      <c r="E16" s="83"/>
      <c r="F16" s="76" t="str">
        <f>IF(VALUE(Logs!B16)=0,"",VALUE(Logs!B16))</f>
        <v/>
      </c>
      <c r="G16" s="7" t="str">
        <f>IF(VALUE(Logs!C16)=0,"",VALUE(Logs!C16))</f>
        <v/>
      </c>
    </row>
    <row r="17" spans="1:7" x14ac:dyDescent="0.25">
      <c r="A17" s="11" t="str">
        <f>IF(TEXT(Logs!B17,"0000")="0000","",TIMEVALUE(REPLACE(TEXT(Logs!B17,"0000"),3,0,":")))</f>
        <v/>
      </c>
      <c r="B17" s="91" t="str">
        <f>IF(TEXT(Logs!C17,"0000")="0000","",TIMEVALUE(REPLACE(TEXT(Logs!C17,"0000"),3,0,":")))</f>
        <v/>
      </c>
      <c r="C17" s="56" t="str">
        <f>IF(OR(Logs!A17="",Logs!D17=""),"","From "&amp;TEXT(Logs!B17,"0000")&amp;" to "&amp;TEXT(Logs!C17, "0000")&amp;" - "&amp;Logs!A17&amp; " ("&amp;TEXT(Logs!E17,"0.00")&amp;" Hours)")</f>
        <v/>
      </c>
      <c r="D17" s="53"/>
      <c r="E17" s="83"/>
      <c r="F17" s="76" t="str">
        <f>IF(VALUE(Logs!B17)=0,"",VALUE(Logs!B17))</f>
        <v/>
      </c>
      <c r="G17" s="7" t="str">
        <f>IF(VALUE(Logs!C17)=0,"",VALUE(Logs!C17))</f>
        <v/>
      </c>
    </row>
    <row r="18" spans="1:7" x14ac:dyDescent="0.25">
      <c r="A18" s="11" t="str">
        <f>IF(TEXT(Logs!B18,"0000")="0000","",TIMEVALUE(REPLACE(TEXT(Logs!B18,"0000"),3,0,":")))</f>
        <v/>
      </c>
      <c r="B18" s="91" t="str">
        <f>IF(TEXT(Logs!C18,"0000")="0000","",TIMEVALUE(REPLACE(TEXT(Logs!C18,"0000"),3,0,":")))</f>
        <v/>
      </c>
      <c r="C18" s="56" t="str">
        <f>IF(OR(Logs!A18="",Logs!D18=""),"","From "&amp;TEXT(Logs!B18,"0000")&amp;" to "&amp;TEXT(Logs!C18, "0000")&amp;" - "&amp;Logs!A18&amp; " ("&amp;TEXT(Logs!E18,"0.00")&amp;" Hours)")</f>
        <v/>
      </c>
      <c r="D18" s="53"/>
      <c r="E18" s="83"/>
      <c r="F18" s="76" t="str">
        <f>IF(VALUE(Logs!B18)=0,"",VALUE(Logs!B18))</f>
        <v/>
      </c>
      <c r="G18" s="7" t="str">
        <f>IF(VALUE(Logs!C18)=0,"",VALUE(Logs!C18))</f>
        <v/>
      </c>
    </row>
    <row r="19" spans="1:7" x14ac:dyDescent="0.25">
      <c r="A19" s="11" t="str">
        <f>IF(TEXT(Logs!B19,"0000")="0000","",TIMEVALUE(REPLACE(TEXT(Logs!B19,"0000"),3,0,":")))</f>
        <v/>
      </c>
      <c r="B19" s="91" t="str">
        <f>IF(TEXT(Logs!C19,"0000")="0000","",TIMEVALUE(REPLACE(TEXT(Logs!C19,"0000"),3,0,":")))</f>
        <v/>
      </c>
      <c r="C19" s="56" t="str">
        <f>IF(OR(Logs!A19="",Logs!D19=""),"","From "&amp;TEXT(Logs!B19,"0000")&amp;" to "&amp;TEXT(Logs!C19, "0000")&amp;" - "&amp;Logs!A19&amp; " ("&amp;TEXT(Logs!E19,"0.00")&amp;" Hours)")</f>
        <v/>
      </c>
      <c r="D19" s="53"/>
      <c r="E19" s="83"/>
      <c r="F19" s="76" t="str">
        <f>IF(VALUE(Logs!B19)=0,"",VALUE(Logs!B19))</f>
        <v/>
      </c>
      <c r="G19" s="7" t="str">
        <f>IF(VALUE(Logs!C19)=0,"",VALUE(Logs!C19))</f>
        <v/>
      </c>
    </row>
    <row r="20" spans="1:7" x14ac:dyDescent="0.25">
      <c r="A20" s="11" t="str">
        <f>IF(TEXT(Logs!B20,"0000")="0000","",TIMEVALUE(REPLACE(TEXT(Logs!B20,"0000"),3,0,":")))</f>
        <v/>
      </c>
      <c r="B20" s="91" t="str">
        <f>IF(TEXT(Logs!C20,"0000")="0000","",TIMEVALUE(REPLACE(TEXT(Logs!C20,"0000"),3,0,":")))</f>
        <v/>
      </c>
      <c r="C20" s="56" t="str">
        <f>IF(OR(Logs!A20="",Logs!D20=""),"","From "&amp;TEXT(Logs!B20,"0000")&amp;" to "&amp;TEXT(Logs!C20, "0000")&amp;" - "&amp;Logs!A20&amp; " ("&amp;TEXT(Logs!E20,"0.00")&amp;" Hours)")</f>
        <v/>
      </c>
      <c r="D20" s="53"/>
      <c r="E20" s="83"/>
      <c r="F20" s="76" t="str">
        <f>IF(VALUE(Logs!B20)=0,"",VALUE(Logs!B20))</f>
        <v/>
      </c>
      <c r="G20" s="7" t="str">
        <f>IF(VALUE(Logs!C20)=0,"",VALUE(Logs!C20))</f>
        <v/>
      </c>
    </row>
    <row r="21" spans="1:7" x14ac:dyDescent="0.25">
      <c r="A21" s="11" t="str">
        <f>IF(TEXT(Logs!B21,"0000")="0000","",TIMEVALUE(REPLACE(TEXT(Logs!B21,"0000"),3,0,":")))</f>
        <v/>
      </c>
      <c r="B21" s="91" t="str">
        <f>IF(TEXT(Logs!C21,"0000")="0000","",TIMEVALUE(REPLACE(TEXT(Logs!C21,"0000"),3,0,":")))</f>
        <v/>
      </c>
      <c r="C21" s="56" t="str">
        <f>IF(OR(Logs!A21="",Logs!D21=""),"","From "&amp;TEXT(Logs!B21,"0000")&amp;" to "&amp;TEXT(Logs!C21, "0000")&amp;" - "&amp;Logs!A21&amp; " ("&amp;TEXT(Logs!E21,"0.00")&amp;" Hours)")</f>
        <v/>
      </c>
      <c r="D21" s="53"/>
      <c r="E21" s="83"/>
      <c r="F21" s="76" t="str">
        <f>IF(VALUE(Logs!B21)=0,"",VALUE(Logs!B21))</f>
        <v/>
      </c>
      <c r="G21" s="7" t="str">
        <f>IF(VALUE(Logs!C21)=0,"",VALUE(Logs!C21))</f>
        <v/>
      </c>
    </row>
    <row r="22" spans="1:7" x14ac:dyDescent="0.25">
      <c r="A22" s="11" t="str">
        <f>IF(TEXT(Logs!B22,"0000")="0000","",TIMEVALUE(REPLACE(TEXT(Logs!B22,"0000"),3,0,":")))</f>
        <v/>
      </c>
      <c r="B22" s="91" t="str">
        <f>IF(TEXT(Logs!C22,"0000")="0000","",TIMEVALUE(REPLACE(TEXT(Logs!C22,"0000"),3,0,":")))</f>
        <v/>
      </c>
      <c r="C22" s="56" t="str">
        <f>IF(OR(Logs!A22="",Logs!D22=""),"","From "&amp;TEXT(Logs!B22,"0000")&amp;" to "&amp;TEXT(Logs!C22, "0000")&amp;" - "&amp;Logs!A22&amp; " ("&amp;TEXT(Logs!E22,"0.00")&amp;" Hours)")</f>
        <v/>
      </c>
      <c r="D22" s="53"/>
      <c r="E22" s="83"/>
      <c r="F22" s="76" t="str">
        <f>IF(VALUE(Logs!B22)=0,"",VALUE(Logs!B22))</f>
        <v/>
      </c>
      <c r="G22" s="7" t="str">
        <f>IF(VALUE(Logs!C22)=0,"",VALUE(Logs!C22))</f>
        <v/>
      </c>
    </row>
    <row r="23" spans="1:7" x14ac:dyDescent="0.25">
      <c r="A23" s="11" t="str">
        <f>IF(TEXT(Logs!B23,"0000")="0000","",TIMEVALUE(REPLACE(TEXT(Logs!B23,"0000"),3,0,":")))</f>
        <v/>
      </c>
      <c r="B23" s="91" t="str">
        <f>IF(TEXT(Logs!C23,"0000")="0000","",TIMEVALUE(REPLACE(TEXT(Logs!C23,"0000"),3,0,":")))</f>
        <v/>
      </c>
      <c r="C23" s="56" t="str">
        <f>IF(OR(Logs!A23="",Logs!D23=""),"","From "&amp;TEXT(Logs!B23,"0000")&amp;" to "&amp;TEXT(Logs!C23, "0000")&amp;" - "&amp;Logs!A23&amp; " ("&amp;TEXT(Logs!E23,"0.00")&amp;" Hours)")</f>
        <v/>
      </c>
      <c r="D23" s="53"/>
      <c r="E23" s="83"/>
      <c r="F23" s="76" t="str">
        <f>IF(VALUE(Logs!B23)=0,"",VALUE(Logs!B23))</f>
        <v/>
      </c>
      <c r="G23" s="7" t="str">
        <f>IF(VALUE(Logs!C23)=0,"",VALUE(Logs!C23))</f>
        <v/>
      </c>
    </row>
    <row r="24" spans="1:7" ht="15.75" thickBot="1" x14ac:dyDescent="0.3">
      <c r="A24" s="12" t="str">
        <f>IF(TEXT(Logs!B24,"0000")="0000","",TIMEVALUE(REPLACE(TEXT(Logs!B24,"0000"),3,0,":")))</f>
        <v/>
      </c>
      <c r="B24" s="92" t="str">
        <f>IF(TEXT(Logs!C24,"0000")="0000","",TIMEVALUE(REPLACE(TEXT(Logs!C24,"0000"),3,0,":")))</f>
        <v/>
      </c>
      <c r="C24" s="57" t="str">
        <f>IF(OR(Logs!A24="",Logs!D24=""),"","From "&amp;TEXT(Logs!B24,"0000")&amp;" to "&amp;TEXT(Logs!C24, "0000")&amp;" - "&amp;Logs!A24&amp; " ("&amp;TEXT(Logs!E24,"0.00")&amp;" Hours)")</f>
        <v/>
      </c>
      <c r="D24" s="54"/>
      <c r="E24" s="85"/>
      <c r="F24" s="77" t="str">
        <f>IF(VALUE(Logs!B24)=0,"",VALUE(Logs!B24))</f>
        <v/>
      </c>
      <c r="G24" s="8" t="str">
        <f>IF(VALUE(Logs!C24)=0,"",VALUE(Logs!C24))</f>
        <v/>
      </c>
    </row>
    <row r="25" spans="1:7" ht="15.75" thickBot="1" x14ac:dyDescent="0.3">
      <c r="A25" s="69" t="str">
        <f>IF(TEXT(Logs!B25,"0000")="","",TIMEVALUE(REPLACE(TEXT(Logs!B25,"0000"),3,0,":")))</f>
        <v/>
      </c>
      <c r="B25" s="70" t="str">
        <f>IF(TEXT(Logs!C25,"0000")="","",TIMEVALUE(REPLACE(TEXT(Logs!C25,"0000"),3,0,":")))</f>
        <v/>
      </c>
      <c r="C25" s="89" t="str">
        <f>IF(OR(Logs!A25="",Logs!D25=""),"", Logs!A25&amp;": From "&amp;TEXT(Logs!B25,"0000")&amp;" to "&amp;TEXT(Logs!C25, "0000")&amp;" ("&amp;TEXT(Logs!E25,"0.00")&amp;" Hours)")</f>
        <v/>
      </c>
      <c r="D25" s="80"/>
      <c r="E25" s="81"/>
      <c r="F25" s="71" t="e">
        <f>IF(VALUE(Logs!B25)=0,"",VALUE(Logs!B25))</f>
        <v>#VALUE!</v>
      </c>
      <c r="G25" s="72" t="e">
        <f>IF(VALUE(Logs!C25)=0,"",VALUE(Logs!C25))</f>
        <v>#VALUE!</v>
      </c>
    </row>
  </sheetData>
  <sheetProtection sheet="1" objects="1" scenarios="1" sort="0" autoFilter="0"/>
  <sortState xmlns:xlrd2="http://schemas.microsoft.com/office/spreadsheetml/2017/richdata2" ref="D2:E20">
    <sortCondition ref="D1"/>
  </sortState>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dimension ref="A1:M51"/>
  <sheetViews>
    <sheetView workbookViewId="0">
      <selection activeCell="A2" sqref="A2"/>
    </sheetView>
  </sheetViews>
  <sheetFormatPr defaultRowHeight="15" x14ac:dyDescent="0.25"/>
  <cols>
    <col min="1" max="1" width="25.7109375" style="60" customWidth="1"/>
    <col min="2" max="5" width="9.140625" style="60"/>
    <col min="6" max="6" width="15.7109375" style="60" customWidth="1"/>
    <col min="7" max="7" width="9.140625" style="60"/>
    <col min="8" max="13" width="12.5703125" style="60" customWidth="1"/>
    <col min="14" max="16384" width="9.140625" style="60"/>
  </cols>
  <sheetData>
    <row r="1" spans="1:13" ht="15.75" thickBot="1" x14ac:dyDescent="0.3">
      <c r="A1" s="65" t="s">
        <v>36</v>
      </c>
      <c r="F1" s="63" t="s">
        <v>4</v>
      </c>
      <c r="H1" s="140" t="s">
        <v>27</v>
      </c>
      <c r="I1" s="141"/>
      <c r="J1" s="141"/>
      <c r="K1" s="141"/>
      <c r="L1" s="141"/>
      <c r="M1" s="142"/>
    </row>
    <row r="2" spans="1:13" ht="15.75" thickBot="1" x14ac:dyDescent="0.3">
      <c r="A2" s="61" t="s">
        <v>31</v>
      </c>
      <c r="F2" s="64"/>
      <c r="H2" s="143" t="s">
        <v>28</v>
      </c>
      <c r="I2" s="144"/>
      <c r="J2" s="144"/>
      <c r="K2" s="144"/>
      <c r="L2" s="144"/>
      <c r="M2" s="145"/>
    </row>
    <row r="3" spans="1:13" x14ac:dyDescent="0.25">
      <c r="A3" s="62" t="s">
        <v>32</v>
      </c>
      <c r="H3" s="146"/>
      <c r="I3" s="147"/>
      <c r="J3" s="147"/>
      <c r="K3" s="147"/>
      <c r="L3" s="147"/>
      <c r="M3" s="148"/>
    </row>
    <row r="4" spans="1:13" ht="15.75" thickBot="1" x14ac:dyDescent="0.3">
      <c r="A4" s="62" t="s">
        <v>37</v>
      </c>
      <c r="H4" s="149"/>
      <c r="I4" s="150"/>
      <c r="J4" s="150"/>
      <c r="K4" s="150"/>
      <c r="L4" s="150"/>
      <c r="M4" s="151"/>
    </row>
    <row r="5" spans="1:13" ht="15.75" thickBot="1" x14ac:dyDescent="0.3">
      <c r="A5" s="62" t="s">
        <v>38</v>
      </c>
    </row>
    <row r="6" spans="1:13" x14ac:dyDescent="0.25">
      <c r="A6" s="62" t="s">
        <v>39</v>
      </c>
      <c r="H6" s="152" t="s">
        <v>29</v>
      </c>
      <c r="I6" s="153"/>
      <c r="J6" s="153"/>
      <c r="K6" s="153"/>
      <c r="L6" s="153"/>
      <c r="M6" s="154"/>
    </row>
    <row r="7" spans="1:13" x14ac:dyDescent="0.25">
      <c r="A7" s="62" t="s">
        <v>33</v>
      </c>
      <c r="H7" s="155" t="s">
        <v>30</v>
      </c>
      <c r="I7" s="156"/>
      <c r="J7" s="156"/>
      <c r="K7" s="156"/>
      <c r="L7" s="156"/>
      <c r="M7" s="157"/>
    </row>
    <row r="8" spans="1:13" x14ac:dyDescent="0.25">
      <c r="A8" s="62" t="s">
        <v>40</v>
      </c>
      <c r="H8" s="155"/>
      <c r="I8" s="156"/>
      <c r="J8" s="156"/>
      <c r="K8" s="156"/>
      <c r="L8" s="156"/>
      <c r="M8" s="157"/>
    </row>
    <row r="9" spans="1:13" ht="15" customHeight="1" x14ac:dyDescent="0.25">
      <c r="A9" s="66" t="s">
        <v>41</v>
      </c>
      <c r="H9" s="155"/>
      <c r="I9" s="156"/>
      <c r="J9" s="156"/>
      <c r="K9" s="156"/>
      <c r="L9" s="156"/>
      <c r="M9" s="157"/>
    </row>
    <row r="10" spans="1:13" x14ac:dyDescent="0.25">
      <c r="A10" s="66" t="s">
        <v>42</v>
      </c>
      <c r="H10" s="155"/>
      <c r="I10" s="156"/>
      <c r="J10" s="156"/>
      <c r="K10" s="156"/>
      <c r="L10" s="156"/>
      <c r="M10" s="157"/>
    </row>
    <row r="11" spans="1:13" x14ac:dyDescent="0.25">
      <c r="A11" s="67" t="s">
        <v>34</v>
      </c>
      <c r="H11" s="155"/>
      <c r="I11" s="156"/>
      <c r="J11" s="156"/>
      <c r="K11" s="156"/>
      <c r="L11" s="156"/>
      <c r="M11" s="157"/>
    </row>
    <row r="12" spans="1:13" x14ac:dyDescent="0.25">
      <c r="A12" s="67" t="s">
        <v>26</v>
      </c>
      <c r="H12" s="155"/>
      <c r="I12" s="156"/>
      <c r="J12" s="156"/>
      <c r="K12" s="156"/>
      <c r="L12" s="156"/>
      <c r="M12" s="157"/>
    </row>
    <row r="13" spans="1:13" x14ac:dyDescent="0.25">
      <c r="A13" s="67" t="s">
        <v>35</v>
      </c>
      <c r="H13" s="155"/>
      <c r="I13" s="156"/>
      <c r="J13" s="156"/>
      <c r="K13" s="156"/>
      <c r="L13" s="156"/>
      <c r="M13" s="157"/>
    </row>
    <row r="14" spans="1:13" x14ac:dyDescent="0.25">
      <c r="A14" s="66"/>
      <c r="H14" s="155"/>
      <c r="I14" s="156"/>
      <c r="J14" s="156"/>
      <c r="K14" s="156"/>
      <c r="L14" s="156"/>
      <c r="M14" s="157"/>
    </row>
    <row r="15" spans="1:13" x14ac:dyDescent="0.25">
      <c r="A15" s="67"/>
      <c r="H15" s="155"/>
      <c r="I15" s="156"/>
      <c r="J15" s="156"/>
      <c r="K15" s="156"/>
      <c r="L15" s="156"/>
      <c r="M15" s="157"/>
    </row>
    <row r="16" spans="1:13" x14ac:dyDescent="0.25">
      <c r="A16" s="67"/>
      <c r="H16" s="155"/>
      <c r="I16" s="156"/>
      <c r="J16" s="156"/>
      <c r="K16" s="156"/>
      <c r="L16" s="156"/>
      <c r="M16" s="157"/>
    </row>
    <row r="17" spans="1:13" x14ac:dyDescent="0.25">
      <c r="A17" s="67"/>
      <c r="H17" s="155"/>
      <c r="I17" s="156"/>
      <c r="J17" s="156"/>
      <c r="K17" s="156"/>
      <c r="L17" s="156"/>
      <c r="M17" s="157"/>
    </row>
    <row r="18" spans="1:13" x14ac:dyDescent="0.25">
      <c r="A18" s="67"/>
      <c r="H18" s="155"/>
      <c r="I18" s="156"/>
      <c r="J18" s="156"/>
      <c r="K18" s="156"/>
      <c r="L18" s="156"/>
      <c r="M18" s="157"/>
    </row>
    <row r="19" spans="1:13" x14ac:dyDescent="0.25">
      <c r="A19" s="67"/>
      <c r="H19" s="155"/>
      <c r="I19" s="156"/>
      <c r="J19" s="156"/>
      <c r="K19" s="156"/>
      <c r="L19" s="156"/>
      <c r="M19" s="157"/>
    </row>
    <row r="20" spans="1:13" x14ac:dyDescent="0.25">
      <c r="A20" s="67"/>
      <c r="H20" s="155"/>
      <c r="I20" s="156"/>
      <c r="J20" s="156"/>
      <c r="K20" s="156"/>
      <c r="L20" s="156"/>
      <c r="M20" s="157"/>
    </row>
    <row r="21" spans="1:13" x14ac:dyDescent="0.25">
      <c r="A21" s="67"/>
      <c r="H21" s="155"/>
      <c r="I21" s="156"/>
      <c r="J21" s="156"/>
      <c r="K21" s="156"/>
      <c r="L21" s="156"/>
      <c r="M21" s="157"/>
    </row>
    <row r="22" spans="1:13" x14ac:dyDescent="0.25">
      <c r="A22" s="67"/>
      <c r="H22" s="155"/>
      <c r="I22" s="156"/>
      <c r="J22" s="156"/>
      <c r="K22" s="156"/>
      <c r="L22" s="156"/>
      <c r="M22" s="157"/>
    </row>
    <row r="23" spans="1:13" x14ac:dyDescent="0.25">
      <c r="A23" s="67"/>
      <c r="H23" s="155"/>
      <c r="I23" s="156"/>
      <c r="J23" s="156"/>
      <c r="K23" s="156"/>
      <c r="L23" s="156"/>
      <c r="M23" s="157"/>
    </row>
    <row r="24" spans="1:13" x14ac:dyDescent="0.25">
      <c r="A24" s="67"/>
      <c r="H24" s="155"/>
      <c r="I24" s="156"/>
      <c r="J24" s="156"/>
      <c r="K24" s="156"/>
      <c r="L24" s="156"/>
      <c r="M24" s="157"/>
    </row>
    <row r="25" spans="1:13" x14ac:dyDescent="0.25">
      <c r="A25" s="67"/>
      <c r="H25" s="155"/>
      <c r="I25" s="156"/>
      <c r="J25" s="156"/>
      <c r="K25" s="156"/>
      <c r="L25" s="156"/>
      <c r="M25" s="157"/>
    </row>
    <row r="26" spans="1:13" x14ac:dyDescent="0.25">
      <c r="A26" s="67"/>
      <c r="H26" s="155"/>
      <c r="I26" s="156"/>
      <c r="J26" s="156"/>
      <c r="K26" s="156"/>
      <c r="L26" s="156"/>
      <c r="M26" s="157"/>
    </row>
    <row r="27" spans="1:13" x14ac:dyDescent="0.25">
      <c r="A27" s="67"/>
      <c r="H27" s="155"/>
      <c r="I27" s="156"/>
      <c r="J27" s="156"/>
      <c r="K27" s="156"/>
      <c r="L27" s="156"/>
      <c r="M27" s="157"/>
    </row>
    <row r="28" spans="1:13" x14ac:dyDescent="0.25">
      <c r="A28" s="67"/>
      <c r="H28" s="155"/>
      <c r="I28" s="156"/>
      <c r="J28" s="156"/>
      <c r="K28" s="156"/>
      <c r="L28" s="156"/>
      <c r="M28" s="157"/>
    </row>
    <row r="29" spans="1:13" x14ac:dyDescent="0.25">
      <c r="A29" s="67"/>
      <c r="H29" s="155"/>
      <c r="I29" s="156"/>
      <c r="J29" s="156"/>
      <c r="K29" s="156"/>
      <c r="L29" s="156"/>
      <c r="M29" s="157"/>
    </row>
    <row r="30" spans="1:13" x14ac:dyDescent="0.25">
      <c r="A30" s="67"/>
      <c r="H30" s="155"/>
      <c r="I30" s="156"/>
      <c r="J30" s="156"/>
      <c r="K30" s="156"/>
      <c r="L30" s="156"/>
      <c r="M30" s="157"/>
    </row>
    <row r="31" spans="1:13" x14ac:dyDescent="0.25">
      <c r="A31" s="67"/>
      <c r="H31" s="155"/>
      <c r="I31" s="156"/>
      <c r="J31" s="156"/>
      <c r="K31" s="156"/>
      <c r="L31" s="156"/>
      <c r="M31" s="157"/>
    </row>
    <row r="32" spans="1:13" x14ac:dyDescent="0.25">
      <c r="A32" s="67"/>
      <c r="H32" s="155"/>
      <c r="I32" s="156"/>
      <c r="J32" s="156"/>
      <c r="K32" s="156"/>
      <c r="L32" s="156"/>
      <c r="M32" s="157"/>
    </row>
    <row r="33" spans="1:13" x14ac:dyDescent="0.25">
      <c r="A33" s="67"/>
      <c r="H33" s="155"/>
      <c r="I33" s="156"/>
      <c r="J33" s="156"/>
      <c r="K33" s="156"/>
      <c r="L33" s="156"/>
      <c r="M33" s="157"/>
    </row>
    <row r="34" spans="1:13" ht="15.75" thickBot="1" x14ac:dyDescent="0.3">
      <c r="A34" s="67"/>
      <c r="H34" s="158"/>
      <c r="I34" s="159"/>
      <c r="J34" s="159"/>
      <c r="K34" s="159"/>
      <c r="L34" s="159"/>
      <c r="M34" s="160"/>
    </row>
    <row r="35" spans="1:13" x14ac:dyDescent="0.25">
      <c r="A35" s="67"/>
    </row>
    <row r="36" spans="1:13" x14ac:dyDescent="0.25">
      <c r="A36" s="67"/>
    </row>
    <row r="37" spans="1:13" x14ac:dyDescent="0.25">
      <c r="A37" s="67"/>
    </row>
    <row r="38" spans="1:13" x14ac:dyDescent="0.25">
      <c r="A38" s="67"/>
    </row>
    <row r="39" spans="1:13" x14ac:dyDescent="0.25">
      <c r="A39" s="67"/>
    </row>
    <row r="40" spans="1:13" x14ac:dyDescent="0.25">
      <c r="A40" s="67"/>
    </row>
    <row r="41" spans="1:13" x14ac:dyDescent="0.25">
      <c r="A41" s="67"/>
    </row>
    <row r="42" spans="1:13" x14ac:dyDescent="0.25">
      <c r="A42" s="67"/>
    </row>
    <row r="43" spans="1:13" x14ac:dyDescent="0.25">
      <c r="A43" s="67"/>
    </row>
    <row r="44" spans="1:13" x14ac:dyDescent="0.25">
      <c r="A44" s="67"/>
    </row>
    <row r="45" spans="1:13" x14ac:dyDescent="0.25">
      <c r="A45" s="67"/>
    </row>
    <row r="46" spans="1:13" x14ac:dyDescent="0.25">
      <c r="A46" s="67"/>
    </row>
    <row r="47" spans="1:13" x14ac:dyDescent="0.25">
      <c r="A47" s="67"/>
    </row>
    <row r="48" spans="1:13" x14ac:dyDescent="0.25">
      <c r="A48" s="67"/>
    </row>
    <row r="49" spans="1:1" x14ac:dyDescent="0.25">
      <c r="A49" s="67"/>
    </row>
    <row r="50" spans="1:1" x14ac:dyDescent="0.25">
      <c r="A50" s="67"/>
    </row>
    <row r="51" spans="1:1" ht="15.75" thickBot="1" x14ac:dyDescent="0.3">
      <c r="A51" s="68"/>
    </row>
  </sheetData>
  <sheetProtection sheet="1" objects="1" scenarios="1" selectLockedCells="1" sort="0" autoFilter="0"/>
  <sortState xmlns:xlrd2="http://schemas.microsoft.com/office/spreadsheetml/2017/richdata2" ref="A3:A17">
    <sortCondition ref="A2"/>
  </sortState>
  <mergeCells count="4">
    <mergeCell ref="H1:M1"/>
    <mergeCell ref="H2:M4"/>
    <mergeCell ref="H6:M6"/>
    <mergeCell ref="H7:M34"/>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8" r:id="rId3" name="Button 2">
              <controlPr defaultSize="0" print="0" autoFill="0" autoPict="0" macro="[0]!Change_Password">
                <anchor moveWithCells="1" sizeWithCells="1">
                  <from>
                    <xdr:col>5</xdr:col>
                    <xdr:colOff>95250</xdr:colOff>
                    <xdr:row>3</xdr:row>
                    <xdr:rowOff>76200</xdr:rowOff>
                  </from>
                  <to>
                    <xdr:col>5</xdr:col>
                    <xdr:colOff>933450</xdr:colOff>
                    <xdr:row>5</xdr:row>
                    <xdr:rowOff>104775</xdr:rowOff>
                  </to>
                </anchor>
              </controlPr>
            </control>
          </mc:Choice>
        </mc:AlternateContent>
        <mc:AlternateContent xmlns:mc="http://schemas.openxmlformats.org/markup-compatibility/2006">
          <mc:Choice Requires="x14">
            <control shapeId="4099" r:id="rId4" name="ExtDevMd">
              <controlPr defaultSize="0" print="0" autoFill="0" autoPict="0" macro="[0]!Toggle_DevMode">
                <anchor moveWithCells="1" sizeWithCells="1">
                  <from>
                    <xdr:col>13</xdr:col>
                    <xdr:colOff>190500</xdr:colOff>
                    <xdr:row>1</xdr:row>
                    <xdr:rowOff>76200</xdr:rowOff>
                  </from>
                  <to>
                    <xdr:col>14</xdr:col>
                    <xdr:colOff>209550</xdr:colOff>
                    <xdr:row>3</xdr:row>
                    <xdr:rowOff>114300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vt:i4>
      </vt:variant>
    </vt:vector>
  </HeadingPairs>
  <TitlesOfParts>
    <vt:vector size="1" baseType="lpstr">
      <vt:lpstr>Welcome</vt:lpstr>
    </vt:vector>
  </TitlesOfParts>
  <Company>Collins Aerospace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Jeffreys, Duncan</dc:creator>
  <cp:lastModifiedBy>Jeffreys, Duncan</cp:lastModifiedBy>
  <dcterms:created xsi:type="dcterms:W3CDTF">2021-03-09T19:36:23Z</dcterms:created>
  <dcterms:modified xsi:type="dcterms:W3CDTF">2021-04-15T20:53:38Z</dcterms:modified>
</cp:coreProperties>
</file>